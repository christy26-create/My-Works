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hristy\Data GUC\"/>
    </mc:Choice>
  </mc:AlternateContent>
  <xr:revisionPtr revIDLastSave="0" documentId="13_ncr:1_{065FB40B-D0AA-4177-9EDD-2541DAC634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loyad" sheetId="2" r:id="rId1"/>
  </sheets>
  <calcPr calcId="191029"/>
</workbook>
</file>

<file path=xl/calcChain.xml><?xml version="1.0" encoding="utf-8"?>
<calcChain xmlns="http://schemas.openxmlformats.org/spreadsheetml/2006/main">
  <c r="D27" i="2" l="1"/>
  <c r="D19" i="2"/>
  <c r="D17" i="2"/>
  <c r="D15" i="2"/>
  <c r="D14" i="2"/>
  <c r="D12" i="2"/>
  <c r="D8" i="2"/>
  <c r="D4" i="2"/>
</calcChain>
</file>

<file path=xl/sharedStrings.xml><?xml version="1.0" encoding="utf-8"?>
<sst xmlns="http://schemas.openxmlformats.org/spreadsheetml/2006/main" count="477" uniqueCount="260">
  <si>
    <t>FEBRUARY 2025 ADMISSION DETAILS</t>
  </si>
  <si>
    <t>SL NO.</t>
  </si>
  <si>
    <t>STUDENT NAME</t>
  </si>
  <si>
    <t>COURSE</t>
  </si>
  <si>
    <t>COURSE FEES</t>
  </si>
  <si>
    <t>ADMISSION DATE</t>
  </si>
  <si>
    <t>REFERENCE</t>
  </si>
  <si>
    <t>COUNCELLOR</t>
  </si>
  <si>
    <t>MAHFOOZ RAHMAN .KP</t>
  </si>
  <si>
    <t>CAP</t>
  </si>
  <si>
    <t>DEFT WHTSAPP MSG</t>
  </si>
  <si>
    <t>ABINSHA .VT</t>
  </si>
  <si>
    <t>HRIDYA SURESH P</t>
  </si>
  <si>
    <t>SAP FICO</t>
  </si>
  <si>
    <t>INCOMING CALL</t>
  </si>
  <si>
    <t>SREENANDANA</t>
  </si>
  <si>
    <t>ASNAN</t>
  </si>
  <si>
    <t>DIFT TEAM</t>
  </si>
  <si>
    <t>ATHIRA .V</t>
  </si>
  <si>
    <t>ASHMIL .TU</t>
  </si>
  <si>
    <t>STUDENT REFRENCE</t>
  </si>
  <si>
    <t>MARIYATH</t>
  </si>
  <si>
    <t>SHIBINA</t>
  </si>
  <si>
    <t>DIPLOMA</t>
  </si>
  <si>
    <t>COLLEGE LEAD</t>
  </si>
  <si>
    <t>RAMEESHA . VP</t>
  </si>
  <si>
    <t>GIREESH .VM</t>
  </si>
  <si>
    <t>INSTA</t>
  </si>
  <si>
    <t>UMAIRA FARZANA</t>
  </si>
  <si>
    <t>DIGITAL MARKETING</t>
  </si>
  <si>
    <t>Anjal Mohammed</t>
  </si>
  <si>
    <t>DATA ANALYTICS</t>
  </si>
  <si>
    <t>NASHEEDA</t>
  </si>
  <si>
    <t>visakh ts</t>
  </si>
  <si>
    <t>HR</t>
  </si>
  <si>
    <t>QIX (INC BFR)</t>
  </si>
  <si>
    <t>SULAI HUSNA</t>
  </si>
  <si>
    <t>mohammed favas kt</t>
  </si>
  <si>
    <t>DATA SCIENCE</t>
  </si>
  <si>
    <t>ADDOX INSTA OCT</t>
  </si>
  <si>
    <t>SREEJA</t>
  </si>
  <si>
    <t>Muhamed Suhail</t>
  </si>
  <si>
    <t>shaheema</t>
  </si>
  <si>
    <t>ADDOX FEB</t>
  </si>
  <si>
    <t>DANIYA</t>
  </si>
  <si>
    <t>QUIX ADS FEB</t>
  </si>
  <si>
    <t>MIDHUN</t>
  </si>
  <si>
    <t>QUIX ADDS FEB</t>
  </si>
  <si>
    <t>Anandhu k</t>
  </si>
  <si>
    <t>DIPLOMA IN CA</t>
  </si>
  <si>
    <t>VIJISHA. MK</t>
  </si>
  <si>
    <t>WHATSAPP</t>
  </si>
  <si>
    <t>muhammed anshid</t>
  </si>
  <si>
    <t>Mirza.k</t>
  </si>
  <si>
    <t>QIX FEB INSTA</t>
  </si>
  <si>
    <t>Bafin</t>
  </si>
  <si>
    <t>QIX INSTA FEB</t>
  </si>
  <si>
    <t>SAHAD</t>
  </si>
  <si>
    <t>Haseena sherin</t>
  </si>
  <si>
    <t>QIX ADS</t>
  </si>
  <si>
    <t>SADAKKATHULLA.K.V</t>
  </si>
  <si>
    <t>SAP MM</t>
  </si>
  <si>
    <t>Muhammed mudhasir kt</t>
  </si>
  <si>
    <t>Nuha fathima kv</t>
  </si>
  <si>
    <t>Muhammed Riyan.m</t>
  </si>
  <si>
    <t>QIX LEADSHEET</t>
  </si>
  <si>
    <t>Rashid Farhan K</t>
  </si>
  <si>
    <t>SALMA</t>
  </si>
  <si>
    <t>digital marketing</t>
  </si>
  <si>
    <t>QUIX ADS</t>
  </si>
  <si>
    <t>Siyana Ashraf</t>
  </si>
  <si>
    <t>DATA ANALYTICS ONLINE</t>
  </si>
  <si>
    <t>SWARNA</t>
  </si>
  <si>
    <t>Muhammed Nishan</t>
  </si>
  <si>
    <t>tranfer to manjeri</t>
  </si>
  <si>
    <t>Ramseena I</t>
  </si>
  <si>
    <t>Sap + zoho + vat = 27000 total</t>
  </si>
  <si>
    <t>faculty reference</t>
  </si>
  <si>
    <t>swarna</t>
  </si>
  <si>
    <t>Al Ameen P A</t>
  </si>
  <si>
    <t>diploma in accounting</t>
  </si>
  <si>
    <t>insta</t>
  </si>
  <si>
    <t>Uvais P H</t>
  </si>
  <si>
    <t>EXCEL</t>
  </si>
  <si>
    <t>13-2-25</t>
  </si>
  <si>
    <t>STUDENT REFERNCE</t>
  </si>
  <si>
    <t>Thajudheen</t>
  </si>
  <si>
    <t>SAP</t>
  </si>
  <si>
    <t>18-2-25</t>
  </si>
  <si>
    <t>Whatsapp</t>
  </si>
  <si>
    <t>Arshamol M P</t>
  </si>
  <si>
    <t>19-2-25</t>
  </si>
  <si>
    <t>Hamras Haris.</t>
  </si>
  <si>
    <t>transfer to calicut</t>
  </si>
  <si>
    <t>Akhil Jifroom</t>
  </si>
  <si>
    <t>Digital Marketing (online)</t>
  </si>
  <si>
    <t>incoming</t>
  </si>
  <si>
    <t>RAHESH V (online)</t>
  </si>
  <si>
    <t>data analytics</t>
  </si>
  <si>
    <t>24-02-25</t>
  </si>
  <si>
    <t>MUHAMMED ANSAR KA</t>
  </si>
  <si>
    <t>excel</t>
  </si>
  <si>
    <t>26-2-25</t>
  </si>
  <si>
    <t>Yamuna P Babu</t>
  </si>
  <si>
    <t>sap online fico</t>
  </si>
  <si>
    <t>28-2-25</t>
  </si>
  <si>
    <t>leadsquare</t>
  </si>
  <si>
    <t>sneha</t>
  </si>
  <si>
    <t>Megha thomas</t>
  </si>
  <si>
    <t>ANJAL MOHAMMED</t>
  </si>
  <si>
    <t>3.2.2025</t>
  </si>
  <si>
    <t>SRUTHI</t>
  </si>
  <si>
    <t>MUHAMMED NISHAN</t>
  </si>
  <si>
    <t>5.2.2025</t>
  </si>
  <si>
    <t>WHATZAP MSG</t>
  </si>
  <si>
    <t>FASIL M</t>
  </si>
  <si>
    <t>DIPLOMA IN CORPORATE ACCOUNTING</t>
  </si>
  <si>
    <t>WHATZAP CAMPAIGN</t>
  </si>
  <si>
    <t>SAMEER KV</t>
  </si>
  <si>
    <t>ABAP</t>
  </si>
  <si>
    <t>8.2.2025</t>
  </si>
  <si>
    <t>CALL</t>
  </si>
  <si>
    <t>VISHNU T</t>
  </si>
  <si>
    <t>SAP-MM</t>
  </si>
  <si>
    <t>10.2.2025</t>
  </si>
  <si>
    <t>ADDOX</t>
  </si>
  <si>
    <t>FARSANA</t>
  </si>
  <si>
    <t>VIJISHA MK</t>
  </si>
  <si>
    <t>WHATZP CAMPAIGN</t>
  </si>
  <si>
    <t>FASHILA</t>
  </si>
  <si>
    <t>12.2.2025</t>
  </si>
  <si>
    <t>ADOX</t>
  </si>
  <si>
    <t>SHAMLEENA T</t>
  </si>
  <si>
    <t>CAP(customized softwares)</t>
  </si>
  <si>
    <t>15.2.2025</t>
  </si>
  <si>
    <t>SANDHRA</t>
  </si>
  <si>
    <t>RINSHA NASRIN T</t>
  </si>
  <si>
    <t>18.2.2025</t>
  </si>
  <si>
    <t>IN BOUND</t>
  </si>
  <si>
    <t>JANSIR SHAN</t>
  </si>
  <si>
    <t>19.2.2025</t>
  </si>
  <si>
    <t>FAVAS P</t>
  </si>
  <si>
    <t>24.2.2025</t>
  </si>
  <si>
    <t>STDNT RFRNC(SHAMIL)</t>
  </si>
  <si>
    <t>SAHLA</t>
  </si>
  <si>
    <t>25.2.2025</t>
  </si>
  <si>
    <t>INCOMING</t>
  </si>
  <si>
    <t>THASHRIFA THASNI</t>
  </si>
  <si>
    <t>26.2.2025</t>
  </si>
  <si>
    <t>SHAHAD M</t>
  </si>
  <si>
    <t>28.2.2025</t>
  </si>
  <si>
    <t>HUSNA</t>
  </si>
  <si>
    <t>MUHAMMED MUDHASIR KT</t>
  </si>
  <si>
    <t>SABLA P</t>
  </si>
  <si>
    <t>FASAL E P</t>
  </si>
  <si>
    <t>FB LEAD</t>
  </si>
  <si>
    <t>MRIDUL N HARISH</t>
  </si>
  <si>
    <t>MM</t>
  </si>
  <si>
    <t>MUHAMMED ARSHAD P</t>
  </si>
  <si>
    <t>BONE+MM</t>
  </si>
  <si>
    <t xml:space="preserve"> INCOMING CALL</t>
  </si>
  <si>
    <t>REMYA</t>
  </si>
  <si>
    <t>MUHAMMED TWAYYIB V A</t>
  </si>
  <si>
    <t>ASWATHI</t>
  </si>
  <si>
    <t>MUHAMMED JOUHARUDHEEN C M</t>
  </si>
  <si>
    <t>FICO</t>
  </si>
  <si>
    <t xml:space="preserve"> FB LEAD</t>
  </si>
  <si>
    <t>MUHAMMED RIDWAN</t>
  </si>
  <si>
    <t xml:space="preserve"> REFERENCE</t>
  </si>
  <si>
    <t>MANJERI</t>
  </si>
  <si>
    <t>AYSHANAJA K</t>
  </si>
  <si>
    <t>WTSP CAMPAIGN</t>
  </si>
  <si>
    <t>SARANYA S</t>
  </si>
  <si>
    <t>ARJUN N P</t>
  </si>
  <si>
    <t>MOHAMMED SARHAD P</t>
  </si>
  <si>
    <t>FICO S4HANA</t>
  </si>
  <si>
    <t>WALK IN</t>
  </si>
  <si>
    <t>MUHAMMED ADIL</t>
  </si>
  <si>
    <t>DIPLOMA IN AC</t>
  </si>
  <si>
    <t xml:space="preserve"> WALK IN</t>
  </si>
  <si>
    <t>HARISANKAR M</t>
  </si>
  <si>
    <t>BONE, MM</t>
  </si>
  <si>
    <t>INBOUND CALL</t>
  </si>
  <si>
    <t>SHANOOJ</t>
  </si>
  <si>
    <t>BY CALLING</t>
  </si>
  <si>
    <t>ANUPAMMA</t>
  </si>
  <si>
    <t>SADIQ ALI KUNHAMOO</t>
  </si>
  <si>
    <t>Data Analytics</t>
  </si>
  <si>
    <t>Kouda</t>
  </si>
  <si>
    <t>ANEESA</t>
  </si>
  <si>
    <t>MAJIDHA FARVEEN P K</t>
  </si>
  <si>
    <t>Collage Lead</t>
  </si>
  <si>
    <t>KIRANNYA KANNAN</t>
  </si>
  <si>
    <t>LEAD SHEET (JAN DA CAMPAIGN)</t>
  </si>
  <si>
    <t>SINI</t>
  </si>
  <si>
    <t>JEENU MARIA JOSEPH</t>
  </si>
  <si>
    <t>LEAD SHEET (FEB DA)</t>
  </si>
  <si>
    <t>ANIRUDH KV</t>
  </si>
  <si>
    <t>POWER BI</t>
  </si>
  <si>
    <t>LEAD SHEET(POWER BI FEB)</t>
  </si>
  <si>
    <t>Vishnu Prasad A T</t>
  </si>
  <si>
    <t>YAGESH</t>
  </si>
  <si>
    <t>INCOMING CALL (FEB)</t>
  </si>
  <si>
    <t>APARNA VIPIN</t>
  </si>
  <si>
    <t>SHAFNA SHERIN</t>
  </si>
  <si>
    <t>INSTA DM  (raji)</t>
  </si>
  <si>
    <t>RAJESHWARI</t>
  </si>
  <si>
    <t>MUHAMMED SHIBIL P</t>
  </si>
  <si>
    <t>Jaseela Olakara</t>
  </si>
  <si>
    <t>LEAD FROM INDIA</t>
  </si>
  <si>
    <t>Mohamed shameem T</t>
  </si>
  <si>
    <t>CMA USA</t>
  </si>
  <si>
    <t>CMA ENQUIRY</t>
  </si>
  <si>
    <t>Ninu Vivek</t>
  </si>
  <si>
    <t>RASHAD</t>
  </si>
  <si>
    <t>Abhijith</t>
  </si>
  <si>
    <t>Khurram Munsif</t>
  </si>
  <si>
    <t>Abhirami mohan</t>
  </si>
  <si>
    <t>ASWIN</t>
  </si>
  <si>
    <t>Megha</t>
  </si>
  <si>
    <t>HARIS AND CO</t>
  </si>
  <si>
    <t>vidya</t>
  </si>
  <si>
    <t>Hemanth Maliakkal Davies</t>
  </si>
  <si>
    <t>SAP PLANT Main- Consultant</t>
  </si>
  <si>
    <t>PREVIOUS Haris and CO LEAD</t>
  </si>
  <si>
    <t>SANJO</t>
  </si>
  <si>
    <t>rashad</t>
  </si>
  <si>
    <t>BINSHAD MOHAMMED AMN</t>
  </si>
  <si>
    <t>CMA</t>
  </si>
  <si>
    <t>NIMISHA C</t>
  </si>
  <si>
    <t>Rashad</t>
  </si>
  <si>
    <t>Alavudheen Noorudheen</t>
  </si>
  <si>
    <t>Fasna</t>
  </si>
  <si>
    <t xml:space="preserve"> (UAE)  HR COURSE</t>
  </si>
  <si>
    <t>leads</t>
  </si>
  <si>
    <t>safna</t>
  </si>
  <si>
    <t>MUHAMMED JASEER</t>
  </si>
  <si>
    <t>HR course</t>
  </si>
  <si>
    <t>Thamanna</t>
  </si>
  <si>
    <t>Leads</t>
  </si>
  <si>
    <t>Safana</t>
  </si>
  <si>
    <t>Nehadha maryam</t>
  </si>
  <si>
    <t>Fousiya O</t>
  </si>
  <si>
    <t>MUHSINA SIDHIK</t>
  </si>
  <si>
    <t>FAHAD ABDUL AZEES</t>
  </si>
  <si>
    <t>Stepheena Johnson</t>
  </si>
  <si>
    <t>Anagha ss</t>
  </si>
  <si>
    <t>Muneeb karattuthodi</t>
  </si>
  <si>
    <t>Ann Rose k Tom</t>
  </si>
  <si>
    <t>JISHA SHAJI</t>
  </si>
  <si>
    <t>Rukkiyya</t>
  </si>
  <si>
    <t>Mirfan Ali TV</t>
  </si>
  <si>
    <t>Anupriya Sunny</t>
  </si>
  <si>
    <t>ExpandX Campaign</t>
  </si>
  <si>
    <t>Arjun Raj</t>
  </si>
  <si>
    <t>rayees</t>
  </si>
  <si>
    <t>ExpandX  course</t>
  </si>
  <si>
    <t>Expandx course</t>
  </si>
  <si>
    <t>offline HR COURSE</t>
  </si>
  <si>
    <t>DIRECT 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</si>
</sst>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222222"/>
      <name val="Calibri"/>
      <charset val="134"/>
      <scheme val="minor"/>
    </font>
    <font>
      <b/>
      <sz val="11"/>
      <color rgb="FF2C363A"/>
      <name val="Calibri"/>
      <charset val="134"/>
      <scheme val="minor"/>
    </font>
    <font>
      <b/>
      <sz val="11"/>
      <color rgb="FF38761D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 readingOrder="1"/>
    </xf>
    <xf numFmtId="14" fontId="2" fillId="0" borderId="2" xfId="0" applyNumberFormat="1" applyFont="1" applyBorder="1" applyAlignment="1">
      <alignment horizontal="center" wrapText="1" readingOrder="1"/>
    </xf>
    <xf numFmtId="0" fontId="6" fillId="0" borderId="2" xfId="0" applyFont="1" applyBorder="1" applyAlignment="1">
      <alignment horizontal="center" wrapText="1" readingOrder="1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5EAB2817-2F74-40BC-A68E-608AD49E9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41" zoomScale="78" zoomScaleNormal="78" workbookViewId="0">
      <selection activeCell="E2" sqref="E1:E1048576"/>
    </sheetView>
  </sheetViews>
  <sheetFormatPr defaultColWidth="9" defaultRowHeight="14.5"/>
  <cols>
    <col min="1" max="1" width="9" style="2"/>
    <col min="2" max="2" width="29.54296875" style="2" customWidth="1"/>
    <col min="3" max="3" width="37.453125" style="2" customWidth="1"/>
    <col min="4" max="4" width="23.54296875" style="2" customWidth="1"/>
    <col min="5" max="5" width="27" style="31" customWidth="1"/>
    <col min="6" max="6" width="45.453125" style="2" customWidth="1"/>
    <col min="7" max="7" width="17.36328125" style="2" customWidth="1"/>
    <col min="8" max="16384" width="9" style="2"/>
  </cols>
  <sheetData>
    <row r="1" spans="1:7" s="1" customFormat="1" ht="29.15" customHeight="1">
      <c r="A1" s="28" t="s">
        <v>0</v>
      </c>
      <c r="B1" s="28"/>
      <c r="C1" s="28"/>
      <c r="D1" s="28"/>
      <c r="E1" s="28"/>
      <c r="F1" s="28"/>
      <c r="G1" s="28"/>
    </row>
    <row r="2" spans="1:7" ht="32.15" customHeight="1">
      <c r="A2" s="3" t="s">
        <v>1</v>
      </c>
      <c r="B2" s="3" t="s">
        <v>2</v>
      </c>
      <c r="C2" s="3" t="s">
        <v>3</v>
      </c>
      <c r="D2" s="3" t="s">
        <v>4</v>
      </c>
      <c r="E2" s="29" t="s">
        <v>5</v>
      </c>
      <c r="F2" s="4" t="s">
        <v>6</v>
      </c>
      <c r="G2" s="4" t="s">
        <v>7</v>
      </c>
    </row>
    <row r="3" spans="1:7" ht="18.899999999999999" customHeight="1">
      <c r="A3" s="5">
        <v>1</v>
      </c>
      <c r="B3" s="6" t="s">
        <v>8</v>
      </c>
      <c r="C3" s="6" t="s">
        <v>9</v>
      </c>
      <c r="D3" s="6">
        <v>17000</v>
      </c>
      <c r="E3" s="7">
        <v>45691</v>
      </c>
      <c r="F3" s="6" t="s">
        <v>10</v>
      </c>
      <c r="G3" s="6" t="s">
        <v>11</v>
      </c>
    </row>
    <row r="4" spans="1:7" ht="18.899999999999999" customHeight="1">
      <c r="A4" s="5">
        <v>2</v>
      </c>
      <c r="B4" s="6" t="s">
        <v>12</v>
      </c>
      <c r="C4" s="6" t="s">
        <v>13</v>
      </c>
      <c r="D4" s="6">
        <f>21000+5000</f>
        <v>26000</v>
      </c>
      <c r="E4" s="7">
        <v>45693</v>
      </c>
      <c r="F4" s="6" t="s">
        <v>14</v>
      </c>
      <c r="G4" s="6" t="s">
        <v>15</v>
      </c>
    </row>
    <row r="5" spans="1:7" ht="18.899999999999999" customHeight="1">
      <c r="A5" s="5">
        <v>3</v>
      </c>
      <c r="B5" s="6" t="s">
        <v>16</v>
      </c>
      <c r="C5" s="6" t="s">
        <v>9</v>
      </c>
      <c r="D5" s="6">
        <v>17000</v>
      </c>
      <c r="E5" s="7">
        <v>45698</v>
      </c>
      <c r="F5" s="6" t="s">
        <v>17</v>
      </c>
      <c r="G5" s="6" t="s">
        <v>18</v>
      </c>
    </row>
    <row r="6" spans="1:7" ht="18.899999999999999" customHeight="1">
      <c r="A6" s="5">
        <v>4</v>
      </c>
      <c r="B6" s="6" t="s">
        <v>19</v>
      </c>
      <c r="C6" s="6" t="s">
        <v>9</v>
      </c>
      <c r="D6" s="6">
        <v>17000</v>
      </c>
      <c r="E6" s="7">
        <v>45698</v>
      </c>
      <c r="F6" s="6" t="s">
        <v>20</v>
      </c>
      <c r="G6" s="6" t="s">
        <v>18</v>
      </c>
    </row>
    <row r="7" spans="1:7" ht="18.899999999999999" customHeight="1">
      <c r="A7" s="5">
        <v>5</v>
      </c>
      <c r="B7" s="6" t="s">
        <v>21</v>
      </c>
      <c r="C7" s="6" t="s">
        <v>9</v>
      </c>
      <c r="D7" s="6">
        <v>15000</v>
      </c>
      <c r="E7" s="7">
        <v>45703</v>
      </c>
      <c r="F7" s="6" t="s">
        <v>10</v>
      </c>
      <c r="G7" s="6" t="s">
        <v>18</v>
      </c>
    </row>
    <row r="8" spans="1:7" ht="18.899999999999999" customHeight="1">
      <c r="A8" s="5">
        <v>6</v>
      </c>
      <c r="B8" s="6" t="s">
        <v>22</v>
      </c>
      <c r="C8" s="6" t="s">
        <v>23</v>
      </c>
      <c r="D8" s="6">
        <f>34980+7020</f>
        <v>42000</v>
      </c>
      <c r="E8" s="7">
        <v>45707</v>
      </c>
      <c r="F8" s="6" t="s">
        <v>24</v>
      </c>
      <c r="G8" s="6" t="s">
        <v>11</v>
      </c>
    </row>
    <row r="9" spans="1:7" ht="18.899999999999999" customHeight="1">
      <c r="A9" s="5">
        <v>7</v>
      </c>
      <c r="B9" s="6" t="s">
        <v>25</v>
      </c>
      <c r="C9" s="6" t="s">
        <v>9</v>
      </c>
      <c r="D9" s="6">
        <v>17000</v>
      </c>
      <c r="E9" s="7">
        <v>45712</v>
      </c>
      <c r="F9" s="6" t="s">
        <v>17</v>
      </c>
      <c r="G9" s="6" t="s">
        <v>18</v>
      </c>
    </row>
    <row r="10" spans="1:7" ht="18.899999999999999" customHeight="1">
      <c r="A10" s="5">
        <v>8</v>
      </c>
      <c r="B10" s="6" t="s">
        <v>26</v>
      </c>
      <c r="C10" s="6" t="s">
        <v>9</v>
      </c>
      <c r="D10" s="6">
        <v>17000</v>
      </c>
      <c r="E10" s="7">
        <v>45715</v>
      </c>
      <c r="F10" s="6" t="s">
        <v>27</v>
      </c>
      <c r="G10" s="6" t="s">
        <v>11</v>
      </c>
    </row>
    <row r="11" spans="1:7" ht="18.899999999999999" customHeight="1">
      <c r="A11" s="5">
        <v>9</v>
      </c>
      <c r="B11" s="6" t="s">
        <v>28</v>
      </c>
      <c r="C11" s="6" t="s">
        <v>29</v>
      </c>
      <c r="D11" s="6">
        <v>18000</v>
      </c>
      <c r="E11" s="7">
        <v>45716</v>
      </c>
      <c r="F11" s="6" t="s">
        <v>259</v>
      </c>
      <c r="G11" s="6" t="s">
        <v>11</v>
      </c>
    </row>
    <row r="12" spans="1:7" ht="18.899999999999999" customHeight="1">
      <c r="A12" s="5">
        <v>10</v>
      </c>
      <c r="B12" s="8" t="s">
        <v>30</v>
      </c>
      <c r="C12" s="8" t="s">
        <v>31</v>
      </c>
      <c r="D12" s="8">
        <f>22400+1600</f>
        <v>24000</v>
      </c>
      <c r="E12" s="9">
        <v>45689</v>
      </c>
      <c r="F12" s="8" t="s">
        <v>27</v>
      </c>
      <c r="G12" s="8" t="s">
        <v>32</v>
      </c>
    </row>
    <row r="13" spans="1:7" ht="18.899999999999999" customHeight="1">
      <c r="A13" s="5">
        <v>11</v>
      </c>
      <c r="B13" s="8" t="s">
        <v>33</v>
      </c>
      <c r="C13" s="8" t="s">
        <v>34</v>
      </c>
      <c r="D13" s="8">
        <v>28500</v>
      </c>
      <c r="E13" s="9">
        <v>45694</v>
      </c>
      <c r="F13" s="8" t="s">
        <v>35</v>
      </c>
      <c r="G13" s="8" t="s">
        <v>36</v>
      </c>
    </row>
    <row r="14" spans="1:7" ht="18.899999999999999" customHeight="1">
      <c r="A14" s="5">
        <v>12</v>
      </c>
      <c r="B14" s="6" t="s">
        <v>37</v>
      </c>
      <c r="C14" s="6" t="s">
        <v>38</v>
      </c>
      <c r="D14" s="6">
        <f>35400+1600</f>
        <v>37000</v>
      </c>
      <c r="E14" s="7">
        <v>45694</v>
      </c>
      <c r="F14" s="6" t="s">
        <v>39</v>
      </c>
      <c r="G14" s="6" t="s">
        <v>40</v>
      </c>
    </row>
    <row r="15" spans="1:7" ht="18.899999999999999" customHeight="1">
      <c r="A15" s="5">
        <v>13</v>
      </c>
      <c r="B15" s="6" t="s">
        <v>41</v>
      </c>
      <c r="C15" s="6" t="s">
        <v>31</v>
      </c>
      <c r="D15" s="6">
        <f>26400+1600</f>
        <v>28000</v>
      </c>
      <c r="E15" s="7">
        <v>45695</v>
      </c>
      <c r="F15" s="6" t="s">
        <v>14</v>
      </c>
      <c r="G15" s="6" t="s">
        <v>36</v>
      </c>
    </row>
    <row r="16" spans="1:7" ht="18.899999999999999" customHeight="1">
      <c r="A16" s="5">
        <v>14</v>
      </c>
      <c r="B16" s="8" t="s">
        <v>42</v>
      </c>
      <c r="C16" s="8" t="s">
        <v>34</v>
      </c>
      <c r="D16" s="8">
        <v>25000</v>
      </c>
      <c r="E16" s="9">
        <v>45698</v>
      </c>
      <c r="F16" s="8" t="s">
        <v>43</v>
      </c>
      <c r="G16" s="8" t="s">
        <v>40</v>
      </c>
    </row>
    <row r="17" spans="1:7" ht="18.899999999999999" customHeight="1">
      <c r="A17" s="5">
        <v>15</v>
      </c>
      <c r="B17" s="6" t="s">
        <v>44</v>
      </c>
      <c r="C17" s="6" t="s">
        <v>38</v>
      </c>
      <c r="D17" s="6">
        <f>35400+1600</f>
        <v>37000</v>
      </c>
      <c r="E17" s="7">
        <v>45699</v>
      </c>
      <c r="F17" s="6" t="s">
        <v>45</v>
      </c>
      <c r="G17" s="6" t="s">
        <v>40</v>
      </c>
    </row>
    <row r="18" spans="1:7" ht="18.899999999999999" customHeight="1">
      <c r="A18" s="5">
        <v>16</v>
      </c>
      <c r="B18" s="8" t="s">
        <v>46</v>
      </c>
      <c r="C18" s="8" t="s">
        <v>29</v>
      </c>
      <c r="D18" s="8">
        <v>18000</v>
      </c>
      <c r="E18" s="9">
        <v>45701</v>
      </c>
      <c r="F18" s="8" t="s">
        <v>47</v>
      </c>
      <c r="G18" s="8" t="s">
        <v>40</v>
      </c>
    </row>
    <row r="19" spans="1:7" ht="18.899999999999999" customHeight="1">
      <c r="A19" s="5">
        <v>17</v>
      </c>
      <c r="B19" s="6" t="s">
        <v>48</v>
      </c>
      <c r="C19" s="6" t="s">
        <v>49</v>
      </c>
      <c r="D19" s="6">
        <f>34980+7020</f>
        <v>42000</v>
      </c>
      <c r="E19" s="7">
        <v>45701</v>
      </c>
      <c r="F19" s="6" t="s">
        <v>45</v>
      </c>
      <c r="G19" s="6" t="s">
        <v>36</v>
      </c>
    </row>
    <row r="20" spans="1:7" ht="18.899999999999999" customHeight="1">
      <c r="A20" s="5">
        <v>18</v>
      </c>
      <c r="B20" s="10" t="s">
        <v>50</v>
      </c>
      <c r="C20" s="6" t="s">
        <v>29</v>
      </c>
      <c r="D20" s="6">
        <v>17000</v>
      </c>
      <c r="E20" s="11">
        <v>45700</v>
      </c>
      <c r="F20" s="6" t="s">
        <v>51</v>
      </c>
      <c r="G20" s="6" t="s">
        <v>32</v>
      </c>
    </row>
    <row r="21" spans="1:7" ht="18.899999999999999" customHeight="1">
      <c r="A21" s="5">
        <v>19</v>
      </c>
      <c r="B21" s="8" t="s">
        <v>52</v>
      </c>
      <c r="C21" s="8" t="s">
        <v>9</v>
      </c>
      <c r="D21" s="8">
        <v>17000</v>
      </c>
      <c r="E21" s="9">
        <v>45703</v>
      </c>
      <c r="F21" s="8" t="s">
        <v>14</v>
      </c>
      <c r="G21" s="8" t="s">
        <v>36</v>
      </c>
    </row>
    <row r="22" spans="1:7" ht="18.899999999999999" customHeight="1">
      <c r="A22" s="5">
        <v>20</v>
      </c>
      <c r="B22" s="6" t="s">
        <v>53</v>
      </c>
      <c r="C22" s="6" t="s">
        <v>9</v>
      </c>
      <c r="D22" s="6">
        <v>17000</v>
      </c>
      <c r="E22" s="7">
        <v>45703</v>
      </c>
      <c r="F22" s="6" t="s">
        <v>54</v>
      </c>
      <c r="G22" s="6" t="s">
        <v>40</v>
      </c>
    </row>
    <row r="23" spans="1:7" ht="18.899999999999999" customHeight="1">
      <c r="A23" s="5">
        <v>21</v>
      </c>
      <c r="B23" s="8" t="s">
        <v>55</v>
      </c>
      <c r="C23" s="8" t="s">
        <v>9</v>
      </c>
      <c r="D23" s="8">
        <v>17000</v>
      </c>
      <c r="E23" s="9">
        <v>45705</v>
      </c>
      <c r="F23" s="8" t="s">
        <v>56</v>
      </c>
      <c r="G23" s="8" t="s">
        <v>40</v>
      </c>
    </row>
    <row r="24" spans="1:7" ht="18.899999999999999" customHeight="1">
      <c r="A24" s="5">
        <v>22</v>
      </c>
      <c r="B24" s="8" t="s">
        <v>44</v>
      </c>
      <c r="C24" s="8" t="s">
        <v>9</v>
      </c>
      <c r="D24" s="8">
        <v>17000</v>
      </c>
      <c r="E24" s="9">
        <v>45705</v>
      </c>
      <c r="F24" s="8" t="s">
        <v>56</v>
      </c>
      <c r="G24" s="8" t="s">
        <v>40</v>
      </c>
    </row>
    <row r="25" spans="1:7" ht="18.899999999999999" customHeight="1">
      <c r="A25" s="5">
        <v>23</v>
      </c>
      <c r="B25" s="6" t="s">
        <v>57</v>
      </c>
      <c r="C25" s="6" t="s">
        <v>29</v>
      </c>
      <c r="D25" s="6">
        <v>3600</v>
      </c>
      <c r="E25" s="7">
        <v>45705</v>
      </c>
      <c r="F25" s="6" t="s">
        <v>43</v>
      </c>
      <c r="G25" s="6" t="s">
        <v>36</v>
      </c>
    </row>
    <row r="26" spans="1:7" ht="18.899999999999999" customHeight="1">
      <c r="A26" s="5">
        <v>24</v>
      </c>
      <c r="B26" s="6" t="s">
        <v>58</v>
      </c>
      <c r="C26" s="6" t="s">
        <v>29</v>
      </c>
      <c r="D26" s="6">
        <v>18000</v>
      </c>
      <c r="E26" s="7">
        <v>45712</v>
      </c>
      <c r="F26" s="6" t="s">
        <v>59</v>
      </c>
      <c r="G26" s="6" t="s">
        <v>36</v>
      </c>
    </row>
    <row r="27" spans="1:7" ht="18.899999999999999" customHeight="1">
      <c r="A27" s="5">
        <v>25</v>
      </c>
      <c r="B27" s="6" t="s">
        <v>60</v>
      </c>
      <c r="C27" s="6" t="s">
        <v>61</v>
      </c>
      <c r="D27" s="6">
        <f>23000+5000</f>
        <v>28000</v>
      </c>
      <c r="E27" s="7">
        <v>46443</v>
      </c>
      <c r="F27" s="6" t="s">
        <v>59</v>
      </c>
      <c r="G27" s="6" t="s">
        <v>36</v>
      </c>
    </row>
    <row r="28" spans="1:7" ht="18.899999999999999" customHeight="1">
      <c r="A28" s="5">
        <v>26</v>
      </c>
      <c r="B28" s="6" t="s">
        <v>62</v>
      </c>
      <c r="C28" s="6" t="s">
        <v>38</v>
      </c>
      <c r="D28" s="6">
        <v>7400</v>
      </c>
      <c r="E28" s="7">
        <v>45714</v>
      </c>
      <c r="F28" s="6" t="s">
        <v>43</v>
      </c>
      <c r="G28" s="6" t="s">
        <v>36</v>
      </c>
    </row>
    <row r="29" spans="1:7" ht="18.899999999999999" customHeight="1">
      <c r="A29" s="5">
        <v>27</v>
      </c>
      <c r="B29" s="6" t="s">
        <v>63</v>
      </c>
      <c r="C29" s="6" t="s">
        <v>237</v>
      </c>
      <c r="D29" s="6">
        <v>7500</v>
      </c>
      <c r="E29" s="7">
        <v>45716</v>
      </c>
      <c r="F29" s="6" t="s">
        <v>43</v>
      </c>
      <c r="G29" s="6" t="s">
        <v>40</v>
      </c>
    </row>
    <row r="30" spans="1:7" ht="18.899999999999999" customHeight="1">
      <c r="A30" s="5">
        <v>28</v>
      </c>
      <c r="B30" s="6" t="s">
        <v>64</v>
      </c>
      <c r="C30" s="6" t="s">
        <v>9</v>
      </c>
      <c r="D30" s="6">
        <v>17000</v>
      </c>
      <c r="E30" s="7">
        <v>45716</v>
      </c>
      <c r="F30" s="6" t="s">
        <v>65</v>
      </c>
      <c r="G30" s="6" t="s">
        <v>36</v>
      </c>
    </row>
    <row r="31" spans="1:7" ht="18.899999999999999" customHeight="1">
      <c r="A31" s="5">
        <v>29</v>
      </c>
      <c r="B31" s="6" t="s">
        <v>66</v>
      </c>
      <c r="C31" s="6" t="s">
        <v>34</v>
      </c>
      <c r="D31" s="6">
        <v>25000</v>
      </c>
      <c r="E31" s="7">
        <v>45716</v>
      </c>
      <c r="F31" s="6" t="s">
        <v>43</v>
      </c>
      <c r="G31" s="6" t="s">
        <v>40</v>
      </c>
    </row>
    <row r="32" spans="1:7" ht="18.899999999999999" customHeight="1">
      <c r="A32" s="5">
        <v>30</v>
      </c>
      <c r="B32" s="6" t="s">
        <v>67</v>
      </c>
      <c r="C32" s="6" t="s">
        <v>68</v>
      </c>
      <c r="D32" s="6">
        <v>18000</v>
      </c>
      <c r="E32" s="7">
        <v>45716</v>
      </c>
      <c r="F32" s="6" t="s">
        <v>69</v>
      </c>
      <c r="G32" s="6" t="s">
        <v>36</v>
      </c>
    </row>
    <row r="33" spans="1:7">
      <c r="A33" s="5">
        <v>31</v>
      </c>
      <c r="B33" s="12" t="s">
        <v>70</v>
      </c>
      <c r="C33" s="12" t="s">
        <v>71</v>
      </c>
      <c r="D33" s="12">
        <v>25000</v>
      </c>
      <c r="E33" s="13">
        <v>45689</v>
      </c>
      <c r="F33" s="12" t="s">
        <v>51</v>
      </c>
      <c r="G33" s="12" t="s">
        <v>72</v>
      </c>
    </row>
    <row r="34" spans="1:7">
      <c r="A34" s="5">
        <v>32</v>
      </c>
      <c r="B34" s="12" t="s">
        <v>73</v>
      </c>
      <c r="C34" s="12" t="s">
        <v>31</v>
      </c>
      <c r="D34" s="12">
        <v>5600</v>
      </c>
      <c r="E34" s="13">
        <v>45689</v>
      </c>
      <c r="F34" s="12" t="s">
        <v>74</v>
      </c>
      <c r="G34" s="12" t="s">
        <v>72</v>
      </c>
    </row>
    <row r="35" spans="1:7">
      <c r="A35" s="5">
        <v>33</v>
      </c>
      <c r="B35" s="12" t="s">
        <v>75</v>
      </c>
      <c r="C35" s="12" t="s">
        <v>76</v>
      </c>
      <c r="D35" s="12">
        <v>27000</v>
      </c>
      <c r="E35" s="13">
        <v>45932</v>
      </c>
      <c r="F35" s="12" t="s">
        <v>77</v>
      </c>
      <c r="G35" s="12" t="s">
        <v>78</v>
      </c>
    </row>
    <row r="36" spans="1:7">
      <c r="A36" s="5">
        <v>34</v>
      </c>
      <c r="B36" s="12" t="s">
        <v>79</v>
      </c>
      <c r="C36" s="12" t="s">
        <v>80</v>
      </c>
      <c r="D36" s="12">
        <v>39000</v>
      </c>
      <c r="E36" s="13">
        <v>45932</v>
      </c>
      <c r="F36" s="12" t="s">
        <v>81</v>
      </c>
      <c r="G36" s="12" t="s">
        <v>78</v>
      </c>
    </row>
    <row r="37" spans="1:7">
      <c r="A37" s="5">
        <v>35</v>
      </c>
      <c r="B37" s="12" t="s">
        <v>82</v>
      </c>
      <c r="C37" s="12" t="s">
        <v>83</v>
      </c>
      <c r="D37" s="12">
        <v>5000</v>
      </c>
      <c r="E37" s="13" t="s">
        <v>84</v>
      </c>
      <c r="F37" s="12" t="s">
        <v>85</v>
      </c>
      <c r="G37" s="12" t="s">
        <v>78</v>
      </c>
    </row>
    <row r="38" spans="1:7">
      <c r="A38" s="5">
        <v>36</v>
      </c>
      <c r="B38" s="12" t="s">
        <v>86</v>
      </c>
      <c r="C38" s="12" t="s">
        <v>87</v>
      </c>
      <c r="D38" s="12">
        <v>22500</v>
      </c>
      <c r="E38" s="13" t="s">
        <v>88</v>
      </c>
      <c r="F38" s="12" t="s">
        <v>89</v>
      </c>
      <c r="G38" s="12" t="s">
        <v>72</v>
      </c>
    </row>
    <row r="39" spans="1:7">
      <c r="A39" s="5">
        <v>37</v>
      </c>
      <c r="B39" s="12" t="s">
        <v>90</v>
      </c>
      <c r="C39" s="12" t="s">
        <v>31</v>
      </c>
      <c r="D39" s="12">
        <v>28000</v>
      </c>
      <c r="E39" s="13" t="s">
        <v>91</v>
      </c>
      <c r="F39" s="12" t="s">
        <v>81</v>
      </c>
      <c r="G39" s="12" t="s">
        <v>72</v>
      </c>
    </row>
    <row r="40" spans="1:7">
      <c r="A40" s="5">
        <v>38</v>
      </c>
      <c r="B40" s="12" t="s">
        <v>92</v>
      </c>
      <c r="C40" s="12" t="s">
        <v>31</v>
      </c>
      <c r="D40" s="12">
        <v>5600</v>
      </c>
      <c r="E40" s="13" t="s">
        <v>91</v>
      </c>
      <c r="F40" s="12" t="s">
        <v>93</v>
      </c>
      <c r="G40" s="12" t="s">
        <v>72</v>
      </c>
    </row>
    <row r="41" spans="1:7">
      <c r="A41" s="5">
        <v>39</v>
      </c>
      <c r="B41" s="12" t="s">
        <v>94</v>
      </c>
      <c r="C41" s="12" t="s">
        <v>95</v>
      </c>
      <c r="D41" s="12">
        <v>18000</v>
      </c>
      <c r="E41" s="13" t="s">
        <v>91</v>
      </c>
      <c r="F41" s="12" t="s">
        <v>96</v>
      </c>
      <c r="G41" s="12" t="s">
        <v>78</v>
      </c>
    </row>
    <row r="42" spans="1:7">
      <c r="A42" s="5">
        <v>40</v>
      </c>
      <c r="B42" s="12" t="s">
        <v>94</v>
      </c>
      <c r="C42" s="12" t="s">
        <v>31</v>
      </c>
      <c r="D42" s="12">
        <v>28000</v>
      </c>
      <c r="E42" s="13" t="s">
        <v>91</v>
      </c>
      <c r="F42" s="12" t="s">
        <v>96</v>
      </c>
      <c r="G42" s="12" t="s">
        <v>78</v>
      </c>
    </row>
    <row r="43" spans="1:7">
      <c r="A43" s="5">
        <v>41</v>
      </c>
      <c r="B43" s="12" t="s">
        <v>97</v>
      </c>
      <c r="C43" s="12" t="s">
        <v>98</v>
      </c>
      <c r="D43" s="12">
        <v>25000</v>
      </c>
      <c r="E43" s="13" t="s">
        <v>99</v>
      </c>
      <c r="F43" s="12" t="s">
        <v>89</v>
      </c>
      <c r="G43" s="12" t="s">
        <v>78</v>
      </c>
    </row>
    <row r="44" spans="1:7">
      <c r="A44" s="5">
        <v>42</v>
      </c>
      <c r="B44" s="12" t="s">
        <v>100</v>
      </c>
      <c r="C44" s="12" t="s">
        <v>101</v>
      </c>
      <c r="D44" s="12">
        <v>5000</v>
      </c>
      <c r="E44" s="13" t="s">
        <v>102</v>
      </c>
      <c r="F44" s="12" t="s">
        <v>85</v>
      </c>
      <c r="G44" s="12" t="s">
        <v>78</v>
      </c>
    </row>
    <row r="45" spans="1:7">
      <c r="A45" s="5">
        <v>43</v>
      </c>
      <c r="B45" s="12" t="s">
        <v>103</v>
      </c>
      <c r="C45" s="12" t="s">
        <v>104</v>
      </c>
      <c r="D45" s="12">
        <v>20000</v>
      </c>
      <c r="E45" s="13" t="s">
        <v>105</v>
      </c>
      <c r="F45" s="12" t="s">
        <v>106</v>
      </c>
      <c r="G45" s="12" t="s">
        <v>107</v>
      </c>
    </row>
    <row r="46" spans="1:7">
      <c r="A46" s="5">
        <v>44</v>
      </c>
      <c r="B46" s="12" t="s">
        <v>108</v>
      </c>
      <c r="C46" s="12" t="s">
        <v>98</v>
      </c>
      <c r="D46" s="12">
        <v>9000</v>
      </c>
      <c r="E46" s="13" t="s">
        <v>105</v>
      </c>
      <c r="F46" s="12" t="s">
        <v>81</v>
      </c>
      <c r="G46" s="12" t="s">
        <v>78</v>
      </c>
    </row>
    <row r="47" spans="1:7">
      <c r="A47" s="5">
        <v>45</v>
      </c>
      <c r="B47" s="14" t="s">
        <v>109</v>
      </c>
      <c r="C47" s="8" t="s">
        <v>31</v>
      </c>
      <c r="D47" s="8">
        <v>5600</v>
      </c>
      <c r="E47" s="9" t="s">
        <v>110</v>
      </c>
      <c r="F47" s="8" t="s">
        <v>27</v>
      </c>
      <c r="G47" s="8" t="s">
        <v>111</v>
      </c>
    </row>
    <row r="48" spans="1:7">
      <c r="A48" s="5">
        <v>46</v>
      </c>
      <c r="B48" s="8" t="s">
        <v>112</v>
      </c>
      <c r="C48" s="8" t="s">
        <v>31</v>
      </c>
      <c r="D48" s="8">
        <v>26000</v>
      </c>
      <c r="E48" s="9" t="s">
        <v>113</v>
      </c>
      <c r="F48" s="8" t="s">
        <v>114</v>
      </c>
      <c r="G48" s="8" t="s">
        <v>72</v>
      </c>
    </row>
    <row r="49" spans="1:7">
      <c r="A49" s="5">
        <v>47</v>
      </c>
      <c r="B49" s="8" t="s">
        <v>115</v>
      </c>
      <c r="C49" s="15" t="s">
        <v>116</v>
      </c>
      <c r="D49" s="8">
        <v>42000</v>
      </c>
      <c r="E49" s="9" t="s">
        <v>113</v>
      </c>
      <c r="F49" s="8" t="s">
        <v>117</v>
      </c>
      <c r="G49" s="8" t="s">
        <v>111</v>
      </c>
    </row>
    <row r="50" spans="1:7">
      <c r="A50" s="5">
        <v>48</v>
      </c>
      <c r="B50" s="8" t="s">
        <v>118</v>
      </c>
      <c r="C50" s="8" t="s">
        <v>119</v>
      </c>
      <c r="D50" s="8">
        <v>55000</v>
      </c>
      <c r="E50" s="9" t="s">
        <v>120</v>
      </c>
      <c r="F50" s="8" t="s">
        <v>121</v>
      </c>
      <c r="G50" s="8" t="s">
        <v>32</v>
      </c>
    </row>
    <row r="51" spans="1:7">
      <c r="A51" s="5">
        <v>49</v>
      </c>
      <c r="B51" s="8" t="s">
        <v>122</v>
      </c>
      <c r="C51" s="8" t="s">
        <v>123</v>
      </c>
      <c r="D51" s="8">
        <v>5400</v>
      </c>
      <c r="E51" s="9" t="s">
        <v>124</v>
      </c>
      <c r="F51" s="8" t="s">
        <v>125</v>
      </c>
      <c r="G51" s="12" t="s">
        <v>126</v>
      </c>
    </row>
    <row r="52" spans="1:7">
      <c r="A52" s="5">
        <v>50</v>
      </c>
      <c r="B52" s="8" t="s">
        <v>127</v>
      </c>
      <c r="C52" s="15" t="s">
        <v>29</v>
      </c>
      <c r="D52" s="8">
        <v>3600</v>
      </c>
      <c r="E52" s="9" t="s">
        <v>124</v>
      </c>
      <c r="F52" s="8" t="s">
        <v>128</v>
      </c>
      <c r="G52" s="8" t="s">
        <v>111</v>
      </c>
    </row>
    <row r="53" spans="1:7">
      <c r="A53" s="5">
        <v>51</v>
      </c>
      <c r="B53" s="8" t="s">
        <v>129</v>
      </c>
      <c r="C53" s="8" t="s">
        <v>9</v>
      </c>
      <c r="D53" s="8">
        <v>17000</v>
      </c>
      <c r="E53" s="9" t="s">
        <v>130</v>
      </c>
      <c r="F53" s="8" t="s">
        <v>131</v>
      </c>
      <c r="G53" s="8" t="s">
        <v>111</v>
      </c>
    </row>
    <row r="54" spans="1:7">
      <c r="A54" s="5">
        <v>52</v>
      </c>
      <c r="B54" s="8" t="s">
        <v>132</v>
      </c>
      <c r="C54" s="15" t="s">
        <v>133</v>
      </c>
      <c r="D54" s="8">
        <v>17000</v>
      </c>
      <c r="E54" s="9" t="s">
        <v>134</v>
      </c>
      <c r="F54" s="8" t="s">
        <v>135</v>
      </c>
      <c r="G54" s="8" t="s">
        <v>32</v>
      </c>
    </row>
    <row r="55" spans="1:7">
      <c r="A55" s="5">
        <v>53</v>
      </c>
      <c r="B55" s="14" t="s">
        <v>136</v>
      </c>
      <c r="C55" s="8" t="s">
        <v>31</v>
      </c>
      <c r="D55" s="8">
        <v>5600</v>
      </c>
      <c r="E55" s="9" t="s">
        <v>137</v>
      </c>
      <c r="F55" s="8" t="s">
        <v>138</v>
      </c>
      <c r="G55" s="8" t="s">
        <v>111</v>
      </c>
    </row>
    <row r="56" spans="1:7">
      <c r="A56" s="5">
        <v>54</v>
      </c>
      <c r="B56" s="8" t="s">
        <v>139</v>
      </c>
      <c r="C56" s="15" t="s">
        <v>29</v>
      </c>
      <c r="D56" s="8">
        <v>17000</v>
      </c>
      <c r="E56" s="9" t="s">
        <v>140</v>
      </c>
      <c r="F56" s="8" t="s">
        <v>131</v>
      </c>
      <c r="G56" s="8" t="s">
        <v>111</v>
      </c>
    </row>
    <row r="57" spans="1:7">
      <c r="A57" s="5">
        <v>55</v>
      </c>
      <c r="B57" s="8" t="s">
        <v>141</v>
      </c>
      <c r="C57" s="15" t="s">
        <v>29</v>
      </c>
      <c r="D57" s="8">
        <v>18000</v>
      </c>
      <c r="E57" s="9" t="s">
        <v>142</v>
      </c>
      <c r="F57" s="8" t="s">
        <v>143</v>
      </c>
      <c r="G57" s="8" t="s">
        <v>126</v>
      </c>
    </row>
    <row r="58" spans="1:7">
      <c r="A58" s="5">
        <v>56</v>
      </c>
      <c r="B58" s="16" t="s">
        <v>144</v>
      </c>
      <c r="C58" s="16" t="s">
        <v>9</v>
      </c>
      <c r="D58" s="16">
        <v>17000</v>
      </c>
      <c r="E58" s="30" t="s">
        <v>145</v>
      </c>
      <c r="F58" s="16" t="s">
        <v>146</v>
      </c>
      <c r="G58" s="16" t="s">
        <v>126</v>
      </c>
    </row>
    <row r="59" spans="1:7">
      <c r="A59" s="5">
        <v>57</v>
      </c>
      <c r="B59" s="16" t="s">
        <v>147</v>
      </c>
      <c r="C59" s="16" t="s">
        <v>31</v>
      </c>
      <c r="D59" s="16">
        <v>28000</v>
      </c>
      <c r="E59" s="30" t="s">
        <v>148</v>
      </c>
      <c r="F59" s="16" t="s">
        <v>131</v>
      </c>
      <c r="G59" s="16" t="s">
        <v>126</v>
      </c>
    </row>
    <row r="60" spans="1:7">
      <c r="A60" s="5">
        <v>58</v>
      </c>
      <c r="B60" s="16" t="s">
        <v>149</v>
      </c>
      <c r="C60" s="16" t="s">
        <v>29</v>
      </c>
      <c r="D60" s="16">
        <v>17000</v>
      </c>
      <c r="E60" s="30" t="s">
        <v>150</v>
      </c>
      <c r="F60" s="17" t="s">
        <v>125</v>
      </c>
      <c r="G60" s="16" t="s">
        <v>151</v>
      </c>
    </row>
    <row r="61" spans="1:7">
      <c r="A61" s="5">
        <v>59</v>
      </c>
      <c r="B61" s="16" t="s">
        <v>152</v>
      </c>
      <c r="C61" s="16" t="s">
        <v>38</v>
      </c>
      <c r="D61" s="16">
        <v>36500</v>
      </c>
      <c r="E61" s="30" t="s">
        <v>150</v>
      </c>
      <c r="F61" s="16" t="s">
        <v>125</v>
      </c>
      <c r="G61" s="16" t="s">
        <v>151</v>
      </c>
    </row>
    <row r="62" spans="1:7">
      <c r="A62" s="5">
        <v>60</v>
      </c>
      <c r="B62" s="16" t="s">
        <v>153</v>
      </c>
      <c r="C62" s="16" t="s">
        <v>29</v>
      </c>
      <c r="D62" s="16">
        <v>18000</v>
      </c>
      <c r="E62" s="30" t="s">
        <v>150</v>
      </c>
      <c r="F62" s="16" t="s">
        <v>131</v>
      </c>
      <c r="G62" s="16" t="s">
        <v>111</v>
      </c>
    </row>
    <row r="63" spans="1:7">
      <c r="A63" s="5">
        <v>61</v>
      </c>
      <c r="B63" s="18" t="s">
        <v>154</v>
      </c>
      <c r="C63" s="18" t="s">
        <v>13</v>
      </c>
      <c r="D63" s="18">
        <v>22000</v>
      </c>
      <c r="E63" s="19">
        <v>45689</v>
      </c>
      <c r="F63" s="18" t="s">
        <v>155</v>
      </c>
      <c r="G63" s="2" t="s">
        <v>15</v>
      </c>
    </row>
    <row r="64" spans="1:7">
      <c r="A64" s="5">
        <v>62</v>
      </c>
      <c r="B64" s="18" t="s">
        <v>156</v>
      </c>
      <c r="C64" s="18" t="s">
        <v>157</v>
      </c>
      <c r="D64" s="18">
        <v>22000</v>
      </c>
      <c r="E64" s="19">
        <v>45689</v>
      </c>
      <c r="F64" s="18" t="s">
        <v>14</v>
      </c>
      <c r="G64" s="2" t="s">
        <v>15</v>
      </c>
    </row>
    <row r="65" spans="1:7">
      <c r="A65" s="5">
        <v>63</v>
      </c>
      <c r="B65" s="18" t="s">
        <v>158</v>
      </c>
      <c r="C65" s="18" t="s">
        <v>159</v>
      </c>
      <c r="D65" s="18">
        <v>39000</v>
      </c>
      <c r="E65" s="19">
        <v>45690</v>
      </c>
      <c r="F65" s="18" t="s">
        <v>160</v>
      </c>
      <c r="G65" s="2" t="s">
        <v>161</v>
      </c>
    </row>
    <row r="66" spans="1:7">
      <c r="A66" s="5">
        <v>64</v>
      </c>
      <c r="B66" s="18" t="s">
        <v>162</v>
      </c>
      <c r="C66" s="18" t="s">
        <v>49</v>
      </c>
      <c r="D66" s="18">
        <v>46000</v>
      </c>
      <c r="E66" s="19">
        <v>45693</v>
      </c>
      <c r="F66" s="18" t="s">
        <v>160</v>
      </c>
      <c r="G66" s="2" t="s">
        <v>163</v>
      </c>
    </row>
    <row r="67" spans="1:7" ht="29">
      <c r="A67" s="5">
        <v>65</v>
      </c>
      <c r="B67" s="18" t="s">
        <v>164</v>
      </c>
      <c r="C67" s="18" t="s">
        <v>165</v>
      </c>
      <c r="D67" s="18">
        <v>20000</v>
      </c>
      <c r="E67" s="19">
        <v>45694</v>
      </c>
      <c r="F67" s="18" t="s">
        <v>166</v>
      </c>
      <c r="G67" s="2" t="s">
        <v>15</v>
      </c>
    </row>
    <row r="68" spans="1:7">
      <c r="A68" s="5">
        <v>66</v>
      </c>
      <c r="B68" s="18" t="s">
        <v>167</v>
      </c>
      <c r="C68" s="18" t="s">
        <v>165</v>
      </c>
      <c r="D68" s="18">
        <v>22000</v>
      </c>
      <c r="E68" s="19">
        <v>45696</v>
      </c>
      <c r="F68" s="18" t="s">
        <v>168</v>
      </c>
      <c r="G68" s="2" t="s">
        <v>161</v>
      </c>
    </row>
    <row r="69" spans="1:7">
      <c r="A69" s="5">
        <v>67</v>
      </c>
      <c r="B69" s="18" t="s">
        <v>122</v>
      </c>
      <c r="C69" s="18" t="s">
        <v>157</v>
      </c>
      <c r="D69" s="18">
        <v>20000</v>
      </c>
      <c r="E69" s="19">
        <v>45701</v>
      </c>
      <c r="F69" s="18" t="s">
        <v>169</v>
      </c>
    </row>
    <row r="70" spans="1:7">
      <c r="A70" s="5">
        <v>68</v>
      </c>
      <c r="B70" s="18" t="s">
        <v>170</v>
      </c>
      <c r="C70" s="18" t="s">
        <v>165</v>
      </c>
      <c r="D70" s="18">
        <v>23000</v>
      </c>
      <c r="E70" s="19">
        <v>45705</v>
      </c>
      <c r="F70" s="18" t="s">
        <v>171</v>
      </c>
      <c r="G70" s="2" t="s">
        <v>161</v>
      </c>
    </row>
    <row r="71" spans="1:7">
      <c r="A71" s="5">
        <v>69</v>
      </c>
      <c r="B71" s="18" t="s">
        <v>172</v>
      </c>
      <c r="C71" s="18" t="s">
        <v>165</v>
      </c>
      <c r="D71" s="18">
        <v>23000</v>
      </c>
      <c r="E71" s="19">
        <v>45705</v>
      </c>
      <c r="F71" s="18" t="s">
        <v>14</v>
      </c>
      <c r="G71" s="2" t="s">
        <v>161</v>
      </c>
    </row>
    <row r="72" spans="1:7">
      <c r="A72" s="5">
        <v>70</v>
      </c>
      <c r="B72" s="18" t="s">
        <v>173</v>
      </c>
      <c r="C72" s="18" t="s">
        <v>157</v>
      </c>
      <c r="D72" s="18">
        <v>22000</v>
      </c>
      <c r="E72" s="19">
        <v>45706</v>
      </c>
      <c r="F72" s="18" t="s">
        <v>166</v>
      </c>
      <c r="G72" s="2" t="s">
        <v>15</v>
      </c>
    </row>
    <row r="73" spans="1:7">
      <c r="A73" s="5">
        <v>71</v>
      </c>
      <c r="B73" s="18" t="s">
        <v>174</v>
      </c>
      <c r="C73" s="18" t="s">
        <v>175</v>
      </c>
      <c r="D73" s="18">
        <v>24000</v>
      </c>
      <c r="E73" s="19">
        <v>45712</v>
      </c>
      <c r="F73" s="18" t="s">
        <v>176</v>
      </c>
      <c r="G73" s="2" t="s">
        <v>161</v>
      </c>
    </row>
    <row r="74" spans="1:7">
      <c r="A74" s="5">
        <v>72</v>
      </c>
      <c r="B74" s="18" t="s">
        <v>177</v>
      </c>
      <c r="C74" s="18" t="s">
        <v>178</v>
      </c>
      <c r="D74" s="18">
        <v>40000</v>
      </c>
      <c r="E74" s="19">
        <v>45713</v>
      </c>
      <c r="F74" s="18" t="s">
        <v>179</v>
      </c>
      <c r="G74" s="2" t="s">
        <v>161</v>
      </c>
    </row>
    <row r="75" spans="1:7">
      <c r="A75" s="5">
        <v>73</v>
      </c>
      <c r="B75" s="18" t="s">
        <v>180</v>
      </c>
      <c r="C75" s="18" t="s">
        <v>181</v>
      </c>
      <c r="D75" s="18">
        <v>39000</v>
      </c>
      <c r="E75" s="19">
        <v>45716</v>
      </c>
      <c r="F75" s="18" t="s">
        <v>182</v>
      </c>
      <c r="G75" s="2" t="s">
        <v>163</v>
      </c>
    </row>
    <row r="76" spans="1:7">
      <c r="A76" s="5">
        <v>74</v>
      </c>
      <c r="B76" s="18" t="s">
        <v>183</v>
      </c>
      <c r="C76" s="18" t="s">
        <v>9</v>
      </c>
      <c r="D76" s="18">
        <v>5000</v>
      </c>
      <c r="E76" s="19">
        <v>45693</v>
      </c>
      <c r="F76" s="18" t="s">
        <v>184</v>
      </c>
      <c r="G76" s="2" t="s">
        <v>185</v>
      </c>
    </row>
    <row r="77" spans="1:7">
      <c r="A77" s="5">
        <v>75</v>
      </c>
      <c r="B77" s="20" t="s">
        <v>186</v>
      </c>
      <c r="C77" s="18" t="s">
        <v>187</v>
      </c>
      <c r="D77" s="18">
        <v>28000</v>
      </c>
      <c r="E77" s="19">
        <v>45346</v>
      </c>
      <c r="F77" s="18" t="s">
        <v>188</v>
      </c>
      <c r="G77" s="2" t="s">
        <v>189</v>
      </c>
    </row>
    <row r="78" spans="1:7">
      <c r="A78" s="5">
        <v>76</v>
      </c>
      <c r="B78" s="20" t="s">
        <v>190</v>
      </c>
      <c r="C78" s="18" t="s">
        <v>9</v>
      </c>
      <c r="D78" s="18">
        <v>8000</v>
      </c>
      <c r="E78" s="19">
        <v>45713</v>
      </c>
      <c r="F78" s="18" t="s">
        <v>191</v>
      </c>
      <c r="G78" s="2" t="s">
        <v>189</v>
      </c>
    </row>
    <row r="79" spans="1:7">
      <c r="A79" s="5">
        <v>77</v>
      </c>
      <c r="B79" s="21" t="s">
        <v>192</v>
      </c>
      <c r="C79" s="5" t="s">
        <v>31</v>
      </c>
      <c r="D79" s="2">
        <v>28000</v>
      </c>
      <c r="E79" s="22">
        <v>45695</v>
      </c>
      <c r="F79" s="21" t="s">
        <v>193</v>
      </c>
      <c r="G79" s="2" t="s">
        <v>194</v>
      </c>
    </row>
    <row r="80" spans="1:7">
      <c r="A80" s="5">
        <v>78</v>
      </c>
      <c r="B80" s="21" t="s">
        <v>195</v>
      </c>
      <c r="C80" s="5" t="s">
        <v>31</v>
      </c>
      <c r="D80" s="2">
        <v>28000</v>
      </c>
      <c r="E80" s="22">
        <v>45699</v>
      </c>
      <c r="F80" s="21" t="s">
        <v>196</v>
      </c>
      <c r="G80" s="2" t="s">
        <v>194</v>
      </c>
    </row>
    <row r="81" spans="1:7">
      <c r="A81" s="5">
        <v>79</v>
      </c>
      <c r="B81" s="21" t="s">
        <v>197</v>
      </c>
      <c r="C81" s="5" t="s">
        <v>198</v>
      </c>
      <c r="D81" s="2">
        <v>8000</v>
      </c>
      <c r="E81" s="23">
        <v>45703</v>
      </c>
      <c r="F81" s="21" t="s">
        <v>199</v>
      </c>
      <c r="G81" s="2" t="s">
        <v>194</v>
      </c>
    </row>
    <row r="82" spans="1:7">
      <c r="A82" s="5">
        <v>80</v>
      </c>
      <c r="B82" s="21" t="s">
        <v>200</v>
      </c>
      <c r="C82" s="5" t="s">
        <v>198</v>
      </c>
      <c r="D82" s="2">
        <v>8000</v>
      </c>
      <c r="E82" s="23">
        <v>45706</v>
      </c>
      <c r="F82" s="21" t="s">
        <v>199</v>
      </c>
      <c r="G82" s="2" t="s">
        <v>194</v>
      </c>
    </row>
    <row r="83" spans="1:7">
      <c r="A83" s="5">
        <v>81</v>
      </c>
      <c r="B83" s="21" t="s">
        <v>201</v>
      </c>
      <c r="C83" s="5" t="s">
        <v>38</v>
      </c>
      <c r="D83" s="2">
        <v>36750</v>
      </c>
      <c r="E83" s="22">
        <v>45715</v>
      </c>
      <c r="F83" s="21" t="s">
        <v>202</v>
      </c>
      <c r="G83" s="2" t="s">
        <v>194</v>
      </c>
    </row>
    <row r="84" spans="1:7">
      <c r="A84" s="5">
        <v>82</v>
      </c>
      <c r="B84" s="21" t="s">
        <v>203</v>
      </c>
      <c r="C84" s="5" t="s">
        <v>31</v>
      </c>
      <c r="D84" s="2">
        <v>28000</v>
      </c>
      <c r="E84" s="22">
        <v>45715</v>
      </c>
      <c r="F84" s="21" t="s">
        <v>196</v>
      </c>
      <c r="G84" s="2" t="s">
        <v>194</v>
      </c>
    </row>
    <row r="85" spans="1:7">
      <c r="A85" s="5">
        <v>83</v>
      </c>
      <c r="B85" s="21" t="s">
        <v>204</v>
      </c>
      <c r="C85" s="5" t="s">
        <v>31</v>
      </c>
      <c r="D85" s="2">
        <v>28000</v>
      </c>
      <c r="E85" s="24">
        <v>45692</v>
      </c>
      <c r="F85" s="21" t="s">
        <v>205</v>
      </c>
      <c r="G85" s="2" t="s">
        <v>206</v>
      </c>
    </row>
    <row r="86" spans="1:7">
      <c r="A86" s="5">
        <v>84</v>
      </c>
      <c r="B86" s="21" t="s">
        <v>207</v>
      </c>
      <c r="C86" s="5" t="s">
        <v>31</v>
      </c>
      <c r="D86" s="2">
        <v>28000</v>
      </c>
      <c r="E86" s="24">
        <v>45698</v>
      </c>
      <c r="F86" s="21" t="s">
        <v>205</v>
      </c>
      <c r="G86" s="2" t="s">
        <v>206</v>
      </c>
    </row>
    <row r="87" spans="1:7">
      <c r="A87" s="5">
        <v>85</v>
      </c>
      <c r="B87" s="12" t="s">
        <v>208</v>
      </c>
      <c r="C87" s="12" t="s">
        <v>31</v>
      </c>
      <c r="D87" s="12">
        <v>48111</v>
      </c>
      <c r="E87" s="13">
        <v>45694</v>
      </c>
      <c r="F87" s="12" t="s">
        <v>209</v>
      </c>
      <c r="G87" s="12" t="s">
        <v>255</v>
      </c>
    </row>
    <row r="88" spans="1:7">
      <c r="A88" s="5">
        <v>86</v>
      </c>
      <c r="B88" s="12" t="s">
        <v>210</v>
      </c>
      <c r="C88" s="12" t="s">
        <v>211</v>
      </c>
      <c r="D88" s="12">
        <v>64584</v>
      </c>
      <c r="E88" s="13">
        <v>45696</v>
      </c>
      <c r="F88" s="12" t="s">
        <v>212</v>
      </c>
      <c r="G88" s="12" t="s">
        <v>255</v>
      </c>
    </row>
    <row r="89" spans="1:7">
      <c r="A89" s="5">
        <v>87</v>
      </c>
      <c r="B89" s="12" t="s">
        <v>213</v>
      </c>
      <c r="C89" s="12" t="s">
        <v>31</v>
      </c>
      <c r="D89" s="12">
        <v>40409</v>
      </c>
      <c r="E89" s="13">
        <v>45696</v>
      </c>
      <c r="F89" s="12" t="s">
        <v>214</v>
      </c>
      <c r="G89" s="12" t="s">
        <v>255</v>
      </c>
    </row>
    <row r="90" spans="1:7">
      <c r="A90" s="5">
        <v>88</v>
      </c>
      <c r="B90" s="12" t="s">
        <v>215</v>
      </c>
      <c r="C90" s="12" t="s">
        <v>211</v>
      </c>
      <c r="D90" s="12">
        <v>59830</v>
      </c>
      <c r="E90" s="13">
        <v>45696</v>
      </c>
      <c r="F90" s="12" t="s">
        <v>214</v>
      </c>
      <c r="G90" s="12" t="s">
        <v>255</v>
      </c>
    </row>
    <row r="91" spans="1:7">
      <c r="A91" s="5">
        <v>89</v>
      </c>
      <c r="B91" s="12" t="s">
        <v>216</v>
      </c>
      <c r="C91" s="12" t="s">
        <v>31</v>
      </c>
      <c r="D91" s="12">
        <v>28833</v>
      </c>
      <c r="E91" s="13">
        <v>45700</v>
      </c>
      <c r="F91" s="12" t="s">
        <v>214</v>
      </c>
      <c r="G91" s="12" t="s">
        <v>255</v>
      </c>
    </row>
    <row r="92" spans="1:7">
      <c r="A92" s="5">
        <v>90</v>
      </c>
      <c r="B92" s="12" t="s">
        <v>217</v>
      </c>
      <c r="C92" s="12" t="s">
        <v>257</v>
      </c>
      <c r="D92" s="12">
        <v>17827</v>
      </c>
      <c r="E92" s="13">
        <v>45701</v>
      </c>
      <c r="F92" s="12" t="s">
        <v>214</v>
      </c>
      <c r="G92" s="12" t="s">
        <v>218</v>
      </c>
    </row>
    <row r="93" spans="1:7">
      <c r="A93" s="5">
        <v>91</v>
      </c>
      <c r="B93" s="12" t="s">
        <v>219</v>
      </c>
      <c r="C93" s="12" t="s">
        <v>98</v>
      </c>
      <c r="D93" s="12">
        <v>23161</v>
      </c>
      <c r="E93" s="13">
        <v>45707</v>
      </c>
      <c r="F93" s="12" t="s">
        <v>220</v>
      </c>
      <c r="G93" s="12" t="s">
        <v>221</v>
      </c>
    </row>
    <row r="94" spans="1:7">
      <c r="A94" s="5">
        <v>92</v>
      </c>
      <c r="B94" s="12" t="s">
        <v>222</v>
      </c>
      <c r="C94" s="12" t="s">
        <v>223</v>
      </c>
      <c r="D94" s="12">
        <v>46352</v>
      </c>
      <c r="E94" s="13">
        <v>45709</v>
      </c>
      <c r="F94" s="12" t="s">
        <v>224</v>
      </c>
      <c r="G94" s="12" t="s">
        <v>218</v>
      </c>
    </row>
    <row r="95" spans="1:7">
      <c r="A95" s="5">
        <v>93</v>
      </c>
      <c r="B95" s="12" t="s">
        <v>225</v>
      </c>
      <c r="C95" s="25" t="s">
        <v>98</v>
      </c>
      <c r="D95" s="12">
        <v>43214</v>
      </c>
      <c r="E95" s="13">
        <v>45712</v>
      </c>
      <c r="F95" s="12" t="s">
        <v>226</v>
      </c>
      <c r="G95" s="12" t="s">
        <v>255</v>
      </c>
    </row>
    <row r="96" spans="1:7">
      <c r="A96" s="5">
        <v>94</v>
      </c>
      <c r="B96" s="12" t="s">
        <v>227</v>
      </c>
      <c r="C96" s="12" t="s">
        <v>228</v>
      </c>
      <c r="D96" s="12">
        <v>59830</v>
      </c>
      <c r="E96" s="13">
        <v>45713</v>
      </c>
      <c r="F96" s="12" t="s">
        <v>214</v>
      </c>
      <c r="G96" s="12" t="s">
        <v>255</v>
      </c>
    </row>
    <row r="97" spans="1:7">
      <c r="A97" s="5">
        <v>95</v>
      </c>
      <c r="B97" s="12" t="s">
        <v>229</v>
      </c>
      <c r="C97" s="12" t="s">
        <v>187</v>
      </c>
      <c r="D97" s="12">
        <v>71501</v>
      </c>
      <c r="E97" s="13">
        <v>45715</v>
      </c>
      <c r="F97" s="12" t="s">
        <v>230</v>
      </c>
      <c r="G97" s="12" t="s">
        <v>255</v>
      </c>
    </row>
    <row r="98" spans="1:7">
      <c r="A98" s="5">
        <v>96</v>
      </c>
      <c r="B98" s="12" t="s">
        <v>231</v>
      </c>
      <c r="C98" s="12" t="s">
        <v>187</v>
      </c>
      <c r="D98" s="12">
        <v>31686</v>
      </c>
      <c r="E98" s="13">
        <v>45715</v>
      </c>
      <c r="F98" s="12" t="s">
        <v>226</v>
      </c>
      <c r="G98" s="12" t="s">
        <v>255</v>
      </c>
    </row>
    <row r="99" spans="1:7">
      <c r="A99" s="5">
        <v>97</v>
      </c>
      <c r="B99" s="6" t="s">
        <v>232</v>
      </c>
      <c r="C99" s="6" t="s">
        <v>233</v>
      </c>
      <c r="D99" s="6">
        <v>35406</v>
      </c>
      <c r="E99" s="7">
        <v>45689</v>
      </c>
      <c r="F99" s="6" t="s">
        <v>234</v>
      </c>
      <c r="G99" s="6" t="s">
        <v>235</v>
      </c>
    </row>
    <row r="100" spans="1:7">
      <c r="A100" s="5">
        <v>98</v>
      </c>
      <c r="B100" s="6" t="s">
        <v>236</v>
      </c>
      <c r="C100" s="6" t="s">
        <v>237</v>
      </c>
      <c r="D100" s="6">
        <v>30000</v>
      </c>
      <c r="E100" s="7">
        <v>45691</v>
      </c>
      <c r="F100" s="6" t="s">
        <v>234</v>
      </c>
      <c r="G100" s="6" t="s">
        <v>235</v>
      </c>
    </row>
    <row r="101" spans="1:7">
      <c r="A101" s="5">
        <v>99</v>
      </c>
      <c r="B101" s="6" t="s">
        <v>238</v>
      </c>
      <c r="C101" s="6" t="s">
        <v>233</v>
      </c>
      <c r="D101" s="6">
        <v>23500</v>
      </c>
      <c r="E101" s="7">
        <v>45694</v>
      </c>
      <c r="F101" s="6" t="s">
        <v>239</v>
      </c>
      <c r="G101" s="6" t="s">
        <v>240</v>
      </c>
    </row>
    <row r="102" spans="1:7">
      <c r="A102" s="5">
        <v>100</v>
      </c>
      <c r="B102" s="6" t="s">
        <v>241</v>
      </c>
      <c r="C102" s="6" t="s">
        <v>233</v>
      </c>
      <c r="D102" s="6">
        <v>35724</v>
      </c>
      <c r="E102" s="7">
        <v>45698</v>
      </c>
      <c r="F102" s="6" t="s">
        <v>234</v>
      </c>
      <c r="G102" s="6" t="s">
        <v>235</v>
      </c>
    </row>
    <row r="103" spans="1:7">
      <c r="A103" s="5">
        <v>101</v>
      </c>
      <c r="B103" s="6" t="s">
        <v>242</v>
      </c>
      <c r="C103" s="6" t="s">
        <v>233</v>
      </c>
      <c r="D103" s="26">
        <v>35424</v>
      </c>
      <c r="E103" s="7">
        <v>45699</v>
      </c>
      <c r="F103" s="6" t="s">
        <v>234</v>
      </c>
      <c r="G103" s="6" t="s">
        <v>240</v>
      </c>
    </row>
    <row r="104" spans="1:7">
      <c r="A104" s="5">
        <v>102</v>
      </c>
      <c r="B104" s="6" t="s">
        <v>243</v>
      </c>
      <c r="C104" s="6" t="s">
        <v>233</v>
      </c>
      <c r="D104" s="6">
        <v>23600</v>
      </c>
      <c r="E104" s="7">
        <v>45700</v>
      </c>
      <c r="F104" s="6" t="s">
        <v>234</v>
      </c>
      <c r="G104" s="6" t="s">
        <v>235</v>
      </c>
    </row>
    <row r="105" spans="1:7">
      <c r="A105" s="5">
        <v>103</v>
      </c>
      <c r="B105" s="6" t="s">
        <v>244</v>
      </c>
      <c r="C105" s="6" t="s">
        <v>258</v>
      </c>
      <c r="D105" s="6">
        <v>10000</v>
      </c>
      <c r="E105" s="7">
        <v>45700</v>
      </c>
      <c r="F105" s="6" t="s">
        <v>234</v>
      </c>
      <c r="G105" s="6" t="s">
        <v>235</v>
      </c>
    </row>
    <row r="106" spans="1:7">
      <c r="A106" s="5">
        <v>104</v>
      </c>
      <c r="B106" s="6" t="s">
        <v>245</v>
      </c>
      <c r="C106" s="6" t="s">
        <v>233</v>
      </c>
      <c r="D106" s="27">
        <v>35479</v>
      </c>
      <c r="E106" s="7">
        <v>45701</v>
      </c>
      <c r="F106" s="6" t="s">
        <v>239</v>
      </c>
      <c r="G106" s="6" t="s">
        <v>240</v>
      </c>
    </row>
    <row r="107" spans="1:7">
      <c r="A107" s="5">
        <v>105</v>
      </c>
      <c r="B107" s="6" t="s">
        <v>246</v>
      </c>
      <c r="C107" s="6" t="s">
        <v>233</v>
      </c>
      <c r="D107" s="6">
        <v>35479</v>
      </c>
      <c r="E107" s="7">
        <v>45701</v>
      </c>
      <c r="F107" s="6" t="s">
        <v>234</v>
      </c>
      <c r="G107" s="6" t="s">
        <v>235</v>
      </c>
    </row>
    <row r="108" spans="1:7">
      <c r="A108" s="5">
        <v>106</v>
      </c>
      <c r="B108" s="6" t="s">
        <v>247</v>
      </c>
      <c r="C108" s="6" t="s">
        <v>233</v>
      </c>
      <c r="D108" s="6">
        <v>35479</v>
      </c>
      <c r="E108" s="7">
        <v>45706</v>
      </c>
      <c r="F108" s="6" t="s">
        <v>234</v>
      </c>
      <c r="G108" s="6" t="s">
        <v>235</v>
      </c>
    </row>
    <row r="109" spans="1:7">
      <c r="A109" s="5">
        <v>107</v>
      </c>
      <c r="B109" s="6" t="s">
        <v>248</v>
      </c>
      <c r="C109" s="6" t="s">
        <v>237</v>
      </c>
      <c r="D109" s="6">
        <v>20000</v>
      </c>
      <c r="E109" s="7">
        <v>45708</v>
      </c>
      <c r="F109" s="6" t="s">
        <v>234</v>
      </c>
      <c r="G109" s="6" t="s">
        <v>235</v>
      </c>
    </row>
    <row r="110" spans="1:7">
      <c r="A110" s="5">
        <v>108</v>
      </c>
      <c r="B110" s="6" t="s">
        <v>249</v>
      </c>
      <c r="C110" s="6" t="s">
        <v>233</v>
      </c>
      <c r="D110" s="6">
        <v>35381</v>
      </c>
      <c r="E110" s="7">
        <v>45709</v>
      </c>
      <c r="F110" s="6" t="s">
        <v>234</v>
      </c>
      <c r="G110" s="6" t="s">
        <v>235</v>
      </c>
    </row>
    <row r="111" spans="1:7">
      <c r="A111" s="5">
        <v>109</v>
      </c>
      <c r="B111" s="6" t="s">
        <v>250</v>
      </c>
      <c r="C111" s="6" t="s">
        <v>233</v>
      </c>
      <c r="D111" s="6">
        <v>37741</v>
      </c>
      <c r="E111" s="7">
        <v>45709</v>
      </c>
      <c r="F111" s="6" t="s">
        <v>234</v>
      </c>
      <c r="G111" s="6" t="s">
        <v>235</v>
      </c>
    </row>
    <row r="112" spans="1:7">
      <c r="A112" s="5">
        <v>110</v>
      </c>
      <c r="B112" s="6" t="s">
        <v>251</v>
      </c>
      <c r="C112" s="6" t="s">
        <v>233</v>
      </c>
      <c r="D112" s="6">
        <v>21359</v>
      </c>
      <c r="E112" s="7">
        <v>45714</v>
      </c>
      <c r="F112" s="6" t="s">
        <v>234</v>
      </c>
      <c r="G112" s="6" t="s">
        <v>235</v>
      </c>
    </row>
    <row r="113" spans="1:7">
      <c r="A113" s="5">
        <v>111</v>
      </c>
      <c r="B113" s="12" t="s">
        <v>252</v>
      </c>
      <c r="C113" s="12" t="s">
        <v>256</v>
      </c>
      <c r="D113" s="2">
        <v>18018</v>
      </c>
      <c r="E113" s="13">
        <v>45713</v>
      </c>
      <c r="F113" s="12" t="s">
        <v>253</v>
      </c>
      <c r="G113" s="12" t="s">
        <v>254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christy rajan</cp:lastModifiedBy>
  <dcterms:created xsi:type="dcterms:W3CDTF">2025-03-11T03:57:00Z</dcterms:created>
  <dcterms:modified xsi:type="dcterms:W3CDTF">2025-05-24T05:45:17Z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D477CE03C00044B69F0755CD58EB34FC_13</vt:lpwstr>
  </property>
  <property fmtid="{D5CDD505-2E9C-101B-9397-08002B2CF9AE}" pid="3" name="KSOProductBuildVer">
    <vt:lpwstr>1033-12.2.0.20326</vt:lpwstr>
  </property>
</Properties>
</file>