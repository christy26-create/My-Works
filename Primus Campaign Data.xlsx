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hristy\Data GUC\"/>
    </mc:Choice>
  </mc:AlternateContent>
  <xr:revisionPtr revIDLastSave="0" documentId="13_ncr:1_{7A4AEC89-4443-4683-B271-8DBF54CBC6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MUS" sheetId="3" r:id="rId1"/>
  </sheets>
  <definedNames>
    <definedName name="_xlnm._FilterDatabase" localSheetId="0" hidden="1">PRIMUS!$C$1:$C$15</definedName>
  </definedNames>
  <calcPr calcId="191029" calcMode="autoNoTable"/>
</workbook>
</file>

<file path=xl/calcChain.xml><?xml version="1.0" encoding="utf-8"?>
<calcChain xmlns="http://schemas.openxmlformats.org/spreadsheetml/2006/main">
  <c r="K11" i="3" l="1"/>
  <c r="K14" i="3"/>
  <c r="K8" i="3"/>
  <c r="K10" i="3"/>
  <c r="K4" i="3"/>
  <c r="K2" i="3"/>
  <c r="K3" i="3"/>
  <c r="K9" i="3"/>
  <c r="K7" i="3"/>
  <c r="K5" i="3"/>
  <c r="K6" i="3"/>
  <c r="K13" i="3"/>
  <c r="K15" i="3"/>
  <c r="K12" i="3"/>
</calcChain>
</file>

<file path=xl/sharedStrings.xml><?xml version="1.0" encoding="utf-8"?>
<sst xmlns="http://schemas.openxmlformats.org/spreadsheetml/2006/main" count="127" uniqueCount="39">
  <si>
    <t>Reporting starts</t>
  </si>
  <si>
    <t>Reporting ends</t>
  </si>
  <si>
    <t>Campaign name</t>
  </si>
  <si>
    <t>Campaign delivery</t>
  </si>
  <si>
    <t>Results</t>
  </si>
  <si>
    <t>Result indicator</t>
  </si>
  <si>
    <t>Reach</t>
  </si>
  <si>
    <t>Impressions</t>
  </si>
  <si>
    <t>Cost per results</t>
  </si>
  <si>
    <t>Amount spent (INR)</t>
  </si>
  <si>
    <t>2025-02-01</t>
  </si>
  <si>
    <t>2025-02-28</t>
  </si>
  <si>
    <t>inactive</t>
  </si>
  <si>
    <t>active</t>
  </si>
  <si>
    <t>actions:onsite_conversion.messaging_conversation_started_7d</t>
  </si>
  <si>
    <t>Ad set budget</t>
  </si>
  <si>
    <t>Attribution setting</t>
  </si>
  <si>
    <t>Using ad set budget</t>
  </si>
  <si>
    <t>7-day click or 1-day view</t>
  </si>
  <si>
    <t>actions:onsite_conversion.lead_grouped</t>
  </si>
  <si>
    <t>Ad set budget type</t>
  </si>
  <si>
    <t>Ends</t>
  </si>
  <si>
    <t>Wtsp campaign</t>
  </si>
  <si>
    <t>ongoing</t>
  </si>
  <si>
    <t>SAP Lead Gen (21-05-2024)</t>
  </si>
  <si>
    <t>HAC | SAP | DM Nov</t>
  </si>
  <si>
    <t>All service - 17/01/2025 BP</t>
  </si>
  <si>
    <t>SAP Engagement AD - 18/01/2025 BP</t>
  </si>
  <si>
    <t>30% offer poster 31-01-25</t>
  </si>
  <si>
    <t>30% offer poster 3-2-25</t>
  </si>
  <si>
    <t>data poster 4-02-25</t>
  </si>
  <si>
    <t>all courses 5-02-25</t>
  </si>
  <si>
    <t>SAP Free Webinar 15/02/2025</t>
  </si>
  <si>
    <t>data analytics old video 26-02-24</t>
  </si>
  <si>
    <t>Data Poster Engagement 26-02-25</t>
  </si>
  <si>
    <t>SAP Insta DM 26/02/2025</t>
  </si>
  <si>
    <t>sap lead gen video 26-02-25</t>
  </si>
  <si>
    <t>-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</si>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</sst>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987A-A505-41B1-8A31-01B6FC2036D7}">
  <sheetPr codeName="Sheet3"/>
  <dimension ref="A1:Q19"/>
  <sheetViews>
    <sheetView tabSelected="1" workbookViewId="0">
      <selection activeCell="C18" sqref="C18"/>
    </sheetView>
  </sheetViews>
  <sheetFormatPr defaultRowHeight="14.5" x14ac:dyDescent="0.35"/>
  <cols>
    <col min="1" max="1" width="13" customWidth="1"/>
    <col min="2" max="2" width="25.6328125" customWidth="1"/>
    <col min="3" max="3" width="35.36328125" customWidth="1"/>
    <col min="4" max="4" width="13.81640625" customWidth="1"/>
    <col min="7" max="7" width="17.1796875" customWidth="1"/>
    <col min="8" max="8" width="14.54296875" customWidth="1"/>
    <col min="9" max="9" width="37.6328125" customWidth="1"/>
    <col min="10" max="10" width="11.54296875" customWidth="1"/>
    <col min="11" max="11" width="20.90625" customWidth="1"/>
    <col min="13" max="13" width="18.1796875" customWidth="1"/>
    <col min="17" max="17" width="21.81640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20</v>
      </c>
      <c r="G1" s="1" t="s">
        <v>16</v>
      </c>
      <c r="H1" s="1" t="s">
        <v>4</v>
      </c>
      <c r="I1" s="1" t="s">
        <v>5</v>
      </c>
      <c r="J1" s="1" t="s">
        <v>6</v>
      </c>
      <c r="K1" s="1" t="s">
        <v>38</v>
      </c>
      <c r="L1" s="1" t="s">
        <v>7</v>
      </c>
      <c r="M1" s="1" t="s">
        <v>8</v>
      </c>
      <c r="N1" s="1" t="s">
        <v>9</v>
      </c>
      <c r="O1" s="1" t="s">
        <v>21</v>
      </c>
    </row>
    <row r="2" spans="1:15" x14ac:dyDescent="0.35">
      <c r="A2" t="s">
        <v>10</v>
      </c>
      <c r="B2" t="s">
        <v>11</v>
      </c>
      <c r="C2" t="s">
        <v>29</v>
      </c>
      <c r="D2" t="s">
        <v>12</v>
      </c>
      <c r="E2" t="s">
        <v>17</v>
      </c>
      <c r="G2" t="s">
        <v>18</v>
      </c>
      <c r="H2">
        <v>32</v>
      </c>
      <c r="I2" t="s">
        <v>19</v>
      </c>
      <c r="J2">
        <v>7151</v>
      </c>
      <c r="K2">
        <f t="shared" ref="K2:K15" si="0">(H2/J2)*100</f>
        <v>0.44748986155782411</v>
      </c>
      <c r="L2">
        <v>17524</v>
      </c>
      <c r="M2">
        <v>201.19468749999999</v>
      </c>
      <c r="N2">
        <v>6438.23</v>
      </c>
      <c r="O2" t="s">
        <v>23</v>
      </c>
    </row>
    <row r="3" spans="1:15" x14ac:dyDescent="0.35">
      <c r="A3" t="s">
        <v>10</v>
      </c>
      <c r="B3" t="s">
        <v>11</v>
      </c>
      <c r="C3" t="s">
        <v>30</v>
      </c>
      <c r="D3" t="s">
        <v>12</v>
      </c>
      <c r="E3" t="s">
        <v>17</v>
      </c>
      <c r="G3" t="s">
        <v>18</v>
      </c>
      <c r="H3">
        <v>49</v>
      </c>
      <c r="I3" t="s">
        <v>14</v>
      </c>
      <c r="J3">
        <v>15596</v>
      </c>
      <c r="K3">
        <f t="shared" si="0"/>
        <v>0.31418312387791741</v>
      </c>
      <c r="L3">
        <v>32539</v>
      </c>
      <c r="M3">
        <v>116.97244898</v>
      </c>
      <c r="N3">
        <v>5731.65</v>
      </c>
      <c r="O3" t="s">
        <v>23</v>
      </c>
    </row>
    <row r="4" spans="1:15" x14ac:dyDescent="0.35">
      <c r="A4" t="s">
        <v>10</v>
      </c>
      <c r="B4" t="s">
        <v>11</v>
      </c>
      <c r="C4" t="s">
        <v>28</v>
      </c>
      <c r="D4" t="s">
        <v>12</v>
      </c>
      <c r="E4" t="s">
        <v>17</v>
      </c>
      <c r="G4" t="s">
        <v>18</v>
      </c>
      <c r="H4">
        <v>4</v>
      </c>
      <c r="I4" t="s">
        <v>14</v>
      </c>
      <c r="J4">
        <v>1639</v>
      </c>
      <c r="K4">
        <f t="shared" si="0"/>
        <v>0.24405125076266015</v>
      </c>
      <c r="L4">
        <v>2411</v>
      </c>
      <c r="M4">
        <v>102.595</v>
      </c>
      <c r="N4">
        <v>410.38</v>
      </c>
      <c r="O4" t="s">
        <v>23</v>
      </c>
    </row>
    <row r="5" spans="1:15" x14ac:dyDescent="0.35">
      <c r="A5" t="s">
        <v>10</v>
      </c>
      <c r="B5" t="s">
        <v>11</v>
      </c>
      <c r="C5" t="s">
        <v>33</v>
      </c>
      <c r="D5" t="s">
        <v>13</v>
      </c>
      <c r="E5" t="s">
        <v>17</v>
      </c>
      <c r="G5" t="s">
        <v>18</v>
      </c>
      <c r="H5">
        <v>11</v>
      </c>
      <c r="I5" t="s">
        <v>19</v>
      </c>
      <c r="J5">
        <v>5410</v>
      </c>
      <c r="K5">
        <f t="shared" si="0"/>
        <v>0.20332717190388169</v>
      </c>
      <c r="L5">
        <v>6645</v>
      </c>
      <c r="M5">
        <v>61.691818179999999</v>
      </c>
      <c r="N5">
        <v>678.61</v>
      </c>
      <c r="O5" t="s">
        <v>23</v>
      </c>
    </row>
    <row r="6" spans="1:15" x14ac:dyDescent="0.35">
      <c r="A6" t="s">
        <v>10</v>
      </c>
      <c r="B6" t="s">
        <v>11</v>
      </c>
      <c r="C6" t="s">
        <v>34</v>
      </c>
      <c r="D6" t="s">
        <v>13</v>
      </c>
      <c r="E6" t="s">
        <v>17</v>
      </c>
      <c r="G6" t="s">
        <v>18</v>
      </c>
      <c r="H6">
        <v>7</v>
      </c>
      <c r="I6" t="s">
        <v>14</v>
      </c>
      <c r="J6">
        <v>3527</v>
      </c>
      <c r="K6">
        <f t="shared" si="0"/>
        <v>0.1984689537850865</v>
      </c>
      <c r="L6">
        <v>5100</v>
      </c>
      <c r="M6">
        <v>96.27</v>
      </c>
      <c r="N6">
        <v>673.89</v>
      </c>
      <c r="O6" t="s">
        <v>23</v>
      </c>
    </row>
    <row r="7" spans="1:15" x14ac:dyDescent="0.35">
      <c r="A7" t="s">
        <v>10</v>
      </c>
      <c r="B7" t="s">
        <v>11</v>
      </c>
      <c r="C7" t="s">
        <v>32</v>
      </c>
      <c r="D7" t="s">
        <v>12</v>
      </c>
      <c r="E7" t="s">
        <v>17</v>
      </c>
      <c r="G7" t="s">
        <v>18</v>
      </c>
      <c r="H7">
        <v>81</v>
      </c>
      <c r="I7" t="s">
        <v>19</v>
      </c>
      <c r="J7">
        <v>45958</v>
      </c>
      <c r="K7">
        <f t="shared" si="0"/>
        <v>0.17624787849775883</v>
      </c>
      <c r="L7">
        <v>61845</v>
      </c>
      <c r="M7">
        <v>24.472098769999999</v>
      </c>
      <c r="N7">
        <v>1982.24</v>
      </c>
      <c r="O7" t="s">
        <v>23</v>
      </c>
    </row>
    <row r="8" spans="1:15" x14ac:dyDescent="0.35">
      <c r="A8" t="s">
        <v>10</v>
      </c>
      <c r="B8" t="s">
        <v>11</v>
      </c>
      <c r="C8" t="s">
        <v>26</v>
      </c>
      <c r="D8" t="s">
        <v>12</v>
      </c>
      <c r="E8" t="s">
        <v>17</v>
      </c>
      <c r="G8" t="s">
        <v>18</v>
      </c>
      <c r="H8">
        <v>14</v>
      </c>
      <c r="I8" t="s">
        <v>19</v>
      </c>
      <c r="J8">
        <v>9871</v>
      </c>
      <c r="K8">
        <f t="shared" si="0"/>
        <v>0.1418296018640462</v>
      </c>
      <c r="L8">
        <v>15972</v>
      </c>
      <c r="M8">
        <v>327.29714286000001</v>
      </c>
      <c r="N8">
        <v>4582.16</v>
      </c>
      <c r="O8" t="s">
        <v>23</v>
      </c>
    </row>
    <row r="9" spans="1:15" x14ac:dyDescent="0.35">
      <c r="A9" t="s">
        <v>10</v>
      </c>
      <c r="B9" t="s">
        <v>11</v>
      </c>
      <c r="C9" t="s">
        <v>31</v>
      </c>
      <c r="D9" t="s">
        <v>12</v>
      </c>
      <c r="E9" t="s">
        <v>17</v>
      </c>
      <c r="G9" t="s">
        <v>18</v>
      </c>
      <c r="H9">
        <v>8</v>
      </c>
      <c r="I9" t="s">
        <v>19</v>
      </c>
      <c r="J9">
        <v>8054</v>
      </c>
      <c r="K9">
        <f t="shared" si="0"/>
        <v>9.9329525701514779E-2</v>
      </c>
      <c r="L9">
        <v>14697</v>
      </c>
      <c r="M9">
        <v>581.61</v>
      </c>
      <c r="N9">
        <v>4652.88</v>
      </c>
      <c r="O9" t="s">
        <v>23</v>
      </c>
    </row>
    <row r="10" spans="1:15" x14ac:dyDescent="0.35">
      <c r="A10" t="s">
        <v>10</v>
      </c>
      <c r="B10" t="s">
        <v>11</v>
      </c>
      <c r="C10" t="s">
        <v>27</v>
      </c>
      <c r="D10" t="s">
        <v>12</v>
      </c>
      <c r="E10" t="s">
        <v>17</v>
      </c>
      <c r="G10" t="s">
        <v>18</v>
      </c>
      <c r="H10">
        <v>17</v>
      </c>
      <c r="I10" t="s">
        <v>14</v>
      </c>
      <c r="J10">
        <v>17997</v>
      </c>
      <c r="K10">
        <f t="shared" si="0"/>
        <v>9.4460187809079291E-2</v>
      </c>
      <c r="L10">
        <v>26068</v>
      </c>
      <c r="M10">
        <v>255.12</v>
      </c>
      <c r="N10">
        <v>4337.04</v>
      </c>
      <c r="O10" t="s">
        <v>23</v>
      </c>
    </row>
    <row r="11" spans="1:15" x14ac:dyDescent="0.35">
      <c r="A11" t="s">
        <v>10</v>
      </c>
      <c r="B11" t="s">
        <v>11</v>
      </c>
      <c r="C11" t="s">
        <v>24</v>
      </c>
      <c r="D11" t="s">
        <v>12</v>
      </c>
      <c r="E11" t="s">
        <v>17</v>
      </c>
      <c r="G11" t="s">
        <v>18</v>
      </c>
      <c r="H11">
        <v>52</v>
      </c>
      <c r="I11" t="s">
        <v>19</v>
      </c>
      <c r="J11">
        <v>65154</v>
      </c>
      <c r="K11">
        <f t="shared" si="0"/>
        <v>7.981090953740369E-2</v>
      </c>
      <c r="L11">
        <v>106180</v>
      </c>
      <c r="M11">
        <v>196.56846153999999</v>
      </c>
      <c r="N11">
        <v>10221.56</v>
      </c>
      <c r="O11" t="s">
        <v>23</v>
      </c>
    </row>
    <row r="12" spans="1:15" x14ac:dyDescent="0.35">
      <c r="A12" t="s">
        <v>10</v>
      </c>
      <c r="B12" t="s">
        <v>11</v>
      </c>
      <c r="C12" t="s">
        <v>22</v>
      </c>
      <c r="D12" t="s">
        <v>12</v>
      </c>
      <c r="E12" t="s">
        <v>17</v>
      </c>
      <c r="G12" t="s">
        <v>18</v>
      </c>
      <c r="H12">
        <v>122</v>
      </c>
      <c r="I12" t="s">
        <v>14</v>
      </c>
      <c r="J12">
        <v>177197</v>
      </c>
      <c r="K12">
        <f t="shared" si="0"/>
        <v>6.8849924095780404E-2</v>
      </c>
      <c r="L12">
        <v>308026</v>
      </c>
      <c r="M12">
        <v>111.96139343999999</v>
      </c>
      <c r="N12">
        <v>13659.29</v>
      </c>
      <c r="O12" t="s">
        <v>23</v>
      </c>
    </row>
    <row r="13" spans="1:15" x14ac:dyDescent="0.35">
      <c r="A13" t="s">
        <v>10</v>
      </c>
      <c r="B13" t="s">
        <v>11</v>
      </c>
      <c r="C13" t="s">
        <v>35</v>
      </c>
      <c r="D13" t="s">
        <v>13</v>
      </c>
      <c r="E13" t="s">
        <v>17</v>
      </c>
      <c r="G13" t="s">
        <v>18</v>
      </c>
      <c r="H13">
        <v>2</v>
      </c>
      <c r="I13" t="s">
        <v>14</v>
      </c>
      <c r="J13">
        <v>3324</v>
      </c>
      <c r="K13">
        <f t="shared" si="0"/>
        <v>6.0168471720818295E-2</v>
      </c>
      <c r="L13">
        <v>4369</v>
      </c>
      <c r="M13">
        <v>332.82499999999999</v>
      </c>
      <c r="N13">
        <v>665.65</v>
      </c>
      <c r="O13" t="s">
        <v>23</v>
      </c>
    </row>
    <row r="14" spans="1:15" x14ac:dyDescent="0.35">
      <c r="A14" t="s">
        <v>10</v>
      </c>
      <c r="B14" t="s">
        <v>11</v>
      </c>
      <c r="C14" t="s">
        <v>25</v>
      </c>
      <c r="D14" t="s">
        <v>12</v>
      </c>
      <c r="E14" t="s">
        <v>17</v>
      </c>
      <c r="G14" t="s">
        <v>18</v>
      </c>
      <c r="H14">
        <v>47</v>
      </c>
      <c r="I14" t="s">
        <v>14</v>
      </c>
      <c r="J14">
        <v>104783</v>
      </c>
      <c r="K14">
        <f t="shared" si="0"/>
        <v>4.4854604277411413E-2</v>
      </c>
      <c r="L14">
        <v>241247</v>
      </c>
      <c r="M14">
        <v>225.33702127999999</v>
      </c>
      <c r="N14">
        <v>10590.84</v>
      </c>
      <c r="O14" t="s">
        <v>23</v>
      </c>
    </row>
    <row r="15" spans="1:15" x14ac:dyDescent="0.35">
      <c r="A15" t="s">
        <v>10</v>
      </c>
      <c r="B15" t="s">
        <v>11</v>
      </c>
      <c r="C15" t="s">
        <v>36</v>
      </c>
      <c r="D15" t="s">
        <v>13</v>
      </c>
      <c r="E15" t="s">
        <v>17</v>
      </c>
      <c r="G15" t="s">
        <v>37</v>
      </c>
      <c r="H15">
        <v>1</v>
      </c>
      <c r="I15" t="s">
        <v>19</v>
      </c>
      <c r="J15">
        <v>4047</v>
      </c>
      <c r="K15">
        <f t="shared" si="0"/>
        <v>2.4709661477637757E-2</v>
      </c>
      <c r="L15">
        <v>4688</v>
      </c>
      <c r="M15">
        <v>662.93</v>
      </c>
      <c r="N15">
        <v>662.93</v>
      </c>
      <c r="O15" t="s">
        <v>23</v>
      </c>
    </row>
    <row r="17" spans="6:17" ht="18.5" x14ac:dyDescent="0.45">
      <c r="F17" s="2"/>
      <c r="J17" s="3"/>
      <c r="L17" s="3"/>
    </row>
    <row r="19" spans="6:17" x14ac:dyDescent="0.35">
      <c r="Q19" s="3"/>
    </row>
  </sheetData>
  <autoFilter ref="C1:C15" xr:uid="{3676987A-A505-41B1-8A31-01B6FC2036D7}"/>
  <sortState xmlns:xlrd2="http://schemas.microsoft.com/office/spreadsheetml/2017/richdata2" ref="A2:O20">
    <sortCondition descending="1" ref="K1:K20"/>
  </sortState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4EFA28-90CE-42C8-8BBC-F5A1D66C4F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PRIMUS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christy rajan</cp:lastModifiedBy>
  <dcterms:created xsi:type="dcterms:W3CDTF">2025-03-01T07:59:49Z</dcterms:created>
  <dcterms:modified xsi:type="dcterms:W3CDTF">2025-05-24T05:27:10Z</dcterms:modified>
  <cp:category/>
</cp:coreProperties>
</file>