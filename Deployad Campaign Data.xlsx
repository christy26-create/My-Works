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Christy\Data GUC\"/>
    </mc:Choice>
  </mc:AlternateContent>
  <xr:revisionPtr revIDLastSave="0" documentId="13_ncr:1_{B085E043-1581-41AF-A1C3-82217DD4430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LAPPURAM" sheetId="1" r:id="rId1"/>
    <sheet name="OTHER BRANCHES" sheetId="2" r:id="rId2"/>
  </sheets>
  <definedNames>
    <definedName name="_xlnm._FilterDatabase" localSheetId="0" hidden="1">MALAPPURAM!$M$1:$M$18</definedName>
    <definedName name="_xlnm._FilterDatabase" localSheetId="1" hidden="1">'OTHER BRANCHES'!$C$1:$C$39</definedName>
  </definedNames>
  <calcPr calcId="191029" calcMode="autoNoTable"/>
</workbook>
</file>

<file path=xl/calcChain.xml><?xml version="1.0" encoding="utf-8"?>
<calcChain xmlns="http://schemas.openxmlformats.org/spreadsheetml/2006/main">
  <c r="J25" i="2" l="1"/>
  <c r="J20" i="2"/>
  <c r="J13" i="2"/>
  <c r="J19" i="2"/>
  <c r="J7" i="2"/>
  <c r="J11" i="2"/>
  <c r="J4" i="2"/>
  <c r="J16" i="2"/>
  <c r="J2" i="2"/>
  <c r="J10" i="2"/>
  <c r="J9" i="2"/>
  <c r="J22" i="2"/>
  <c r="J14" i="2"/>
  <c r="J15" i="2"/>
  <c r="J17" i="2"/>
  <c r="J27" i="2"/>
  <c r="J8" i="2"/>
  <c r="J26" i="2"/>
  <c r="J23" i="2"/>
  <c r="J28" i="2"/>
  <c r="J24" i="2"/>
  <c r="J18" i="2"/>
  <c r="J21" i="2"/>
  <c r="J12" i="2"/>
  <c r="J6" i="2"/>
  <c r="J3" i="2"/>
  <c r="J5" i="2"/>
  <c r="H7" i="1"/>
  <c r="H11" i="1"/>
  <c r="H8" i="1"/>
  <c r="H14" i="1"/>
  <c r="H15" i="1"/>
  <c r="H13" i="1"/>
  <c r="H9" i="1"/>
  <c r="H4" i="1"/>
  <c r="H5" i="1"/>
  <c r="H3" i="1"/>
  <c r="H16" i="1"/>
  <c r="H6" i="1"/>
  <c r="H12" i="1"/>
  <c r="H10" i="1"/>
  <c r="H2" i="1"/>
</calcChain>
</file>

<file path=xl/sharedStrings.xml><?xml version="1.0" encoding="utf-8"?>
<sst xmlns="http://schemas.openxmlformats.org/spreadsheetml/2006/main" count="374" uniqueCount="87">
  <si>
    <t>Reporting starts</t>
  </si>
  <si>
    <t>Reporting ends</t>
  </si>
  <si>
    <t>Campaign name</t>
  </si>
  <si>
    <t>Campaign delivery</t>
  </si>
  <si>
    <t>Results</t>
  </si>
  <si>
    <t>Result indicator</t>
  </si>
  <si>
    <t>Reach</t>
  </si>
  <si>
    <t>Impressions</t>
  </si>
  <si>
    <t>Cost per results</t>
  </si>
  <si>
    <t>Amount spent (INR)</t>
  </si>
  <si>
    <t>2025-02-01</t>
  </si>
  <si>
    <t>2025-02-28</t>
  </si>
  <si>
    <t>inactive</t>
  </si>
  <si>
    <t>video_thruplay_watched_actions</t>
  </si>
  <si>
    <t>active</t>
  </si>
  <si>
    <t>actions:onsite_conversion.messaging_conversation_started_7d</t>
  </si>
  <si>
    <t>estimated_ad_recallers</t>
  </si>
  <si>
    <t>COURSE</t>
  </si>
  <si>
    <t>PERINTHALMANNA</t>
  </si>
  <si>
    <t>HR</t>
  </si>
  <si>
    <t>SAP</t>
  </si>
  <si>
    <t>DATA SCIENCE</t>
  </si>
  <si>
    <t>DATA ANALYTICS</t>
  </si>
  <si>
    <t>MANJERI</t>
  </si>
  <si>
    <t>DIGITAL MARKETING</t>
  </si>
  <si>
    <t>MAJERI</t>
  </si>
  <si>
    <t>CAP</t>
  </si>
  <si>
    <t>DIPLOMA</t>
  </si>
  <si>
    <t>FARSANA</t>
  </si>
  <si>
    <t>NILAMBUR</t>
  </si>
  <si>
    <t>OFFICE ADMINISTRATION</t>
  </si>
  <si>
    <t>Deployad| Awareness | Malappuram | 14/12/24</t>
  </si>
  <si>
    <t>Deployad | WhatsApp | HR Course Sreeja  | 17/12/24</t>
  </si>
  <si>
    <t>Deployad | WhatsApp | New Data Science Husna Campgain | 18/12/24</t>
  </si>
  <si>
    <t>Deployad| WhatsApp | CAP Nusriya New Campaign | 1/1/24</t>
  </si>
  <si>
    <t>Deployad | WhatsApp | DM New Nusriya Campaign | 11/1/25</t>
  </si>
  <si>
    <t>Deployad | WhatsApp | Malappuram | Data Analytics New Campaign | 28/1/25</t>
  </si>
  <si>
    <t>Deployad| WhatsApp | Malappuram | Data Analytics Farsana Campaign | 1/2/25</t>
  </si>
  <si>
    <t>Deployad | WhatsApp | SAP Farsana Campgain | 1/2/25</t>
  </si>
  <si>
    <t>Deployad | WhatsApp | Sruthy Diploma Accounting | Malappuram | 5/2/25</t>
  </si>
  <si>
    <t>Deployad| WhatsApp | Sruthi New Campgain | 8/2/25</t>
  </si>
  <si>
    <t>Deployad | WhatsApp | SAP Farsana Campgain | 1/2/25 – Copy</t>
  </si>
  <si>
    <t>Deployad| Awareness | Brand Recalllift | 18/2/25</t>
  </si>
  <si>
    <t>Deployad Nilambur | Sales| Nilambur | Instagram | CAP Campgain| 26/2/25</t>
  </si>
  <si>
    <t>Deployad Nilambur | Awarness| Nilambur | Brand Recall lift  | 27/2/25</t>
  </si>
  <si>
    <t>Deployad Nilambur | Sales | office admistartion | 28/02/2025</t>
  </si>
  <si>
    <t>AWARENESS</t>
  </si>
  <si>
    <t>BRANCH</t>
  </si>
  <si>
    <t>Ad set budget</t>
  </si>
  <si>
    <t>Attribution setting</t>
  </si>
  <si>
    <t>GCC Data analytics lead</t>
  </si>
  <si>
    <t>Using ad set budget</t>
  </si>
  <si>
    <t>7-day click or 1-day view</t>
  </si>
  <si>
    <t>actions:onsite_conversion.lead_grouped</t>
  </si>
  <si>
    <t>UAE</t>
  </si>
  <si>
    <t>Diploma in Accounting - 22-11-24</t>
  </si>
  <si>
    <t>CALICUT</t>
  </si>
  <si>
    <t>SAP | KL | DM | JAN</t>
  </si>
  <si>
    <t>DA | KL | Lead Gen | Campaign</t>
  </si>
  <si>
    <t>DATA ANALYTIC</t>
  </si>
  <si>
    <t>DA | KL | DM | 11/12/24</t>
  </si>
  <si>
    <t>Power BI KL Leadgen</t>
  </si>
  <si>
    <t>POWER BI</t>
  </si>
  <si>
    <t>SAP | GCC | DM |10-01-2025</t>
  </si>
  <si>
    <t>Power BI UAE LeadGen</t>
  </si>
  <si>
    <t>SAP | KL | Lead Gen | 16-01-2025</t>
  </si>
  <si>
    <t>SAP | GCC | Lead Gen | 16-01-2025</t>
  </si>
  <si>
    <t>Power BI HYD Lead campaign</t>
  </si>
  <si>
    <t>HYD</t>
  </si>
  <si>
    <t>HR-HYD-Lead Gen-17-01-2025</t>
  </si>
  <si>
    <t>DEPLOYAD | SAP | KL | Lead campaign 24/01/25</t>
  </si>
  <si>
    <t>SAP-IVR-KL-30-01-2025</t>
  </si>
  <si>
    <t>actions:click_to_call_call_confirm</t>
  </si>
  <si>
    <t>DA-IVR-KL-30-01-2025</t>
  </si>
  <si>
    <t>Diploma in Accounting - 04/02/25</t>
  </si>
  <si>
    <t>DEPLOYAD SAP | KL | Lead  campaign 04/02/25</t>
  </si>
  <si>
    <t>DEPLOYAD SAP | GCC | WhatsApp campaign 06/02/25</t>
  </si>
  <si>
    <t>DA-KL-DM-07-02-2025</t>
  </si>
  <si>
    <t>SAP-DM-KL-Feb</t>
  </si>
  <si>
    <t>DA-KL-DM-12-02-2025</t>
  </si>
  <si>
    <t>Digital Marketing-KL-26-02-2025</t>
  </si>
  <si>
    <t>SAP new Campaign | CLT | Feb 27</t>
  </si>
  <si>
    <t>DEPLOYAD | DA| Lead  campaign 27/02/25</t>
  </si>
  <si>
    <t>DEPLOYAD | DM Course Lead campaign 28/02/25</t>
  </si>
  <si>
    <t>UAE Lead campaign | DA | Campaign</t>
  </si>
  <si>
    <t>DEPLOYAD | SAP| GCC | Lead  campaign 26/02/25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</si>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</sst>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0" fontId="4" fillId="0" borderId="0" xfId="0" applyFont="1"/>
    <xf numFmtId="0" fontId="3" fillId="0" borderId="1" xfId="0" applyFont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9"/>
  <sheetViews>
    <sheetView workbookViewId="0">
      <selection activeCell="C2" sqref="C2"/>
    </sheetView>
  </sheetViews>
  <sheetFormatPr defaultColWidth="20" defaultRowHeight="14.5" x14ac:dyDescent="0.35"/>
  <cols>
    <col min="3" max="3" width="72.90625" customWidth="1"/>
    <col min="13" max="13" width="34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86</v>
      </c>
      <c r="I1" s="1" t="s">
        <v>7</v>
      </c>
      <c r="J1" s="1" t="s">
        <v>8</v>
      </c>
      <c r="K1" s="1" t="s">
        <v>9</v>
      </c>
      <c r="L1" s="1" t="s">
        <v>47</v>
      </c>
      <c r="M1" s="1" t="s">
        <v>17</v>
      </c>
    </row>
    <row r="2" spans="1:14" x14ac:dyDescent="0.35">
      <c r="A2" s="2" t="s">
        <v>10</v>
      </c>
      <c r="B2" s="2" t="s">
        <v>11</v>
      </c>
      <c r="C2" s="2" t="s">
        <v>31</v>
      </c>
      <c r="D2" s="2" t="s">
        <v>12</v>
      </c>
      <c r="E2" s="2">
        <v>30512</v>
      </c>
      <c r="F2" s="2" t="s">
        <v>13</v>
      </c>
      <c r="G2" s="2">
        <v>58290</v>
      </c>
      <c r="H2" s="6">
        <f t="shared" ref="H2:H16" si="0">(E2/G2)*100</f>
        <v>52.34517069823297</v>
      </c>
      <c r="I2" s="2">
        <v>86975</v>
      </c>
      <c r="J2" s="2">
        <v>8.0664E-2</v>
      </c>
      <c r="K2" s="2">
        <v>22347.06</v>
      </c>
      <c r="L2" s="2" t="s">
        <v>23</v>
      </c>
      <c r="M2" s="2" t="s">
        <v>46</v>
      </c>
    </row>
    <row r="3" spans="1:14" x14ac:dyDescent="0.35">
      <c r="A3" s="2" t="s">
        <v>10</v>
      </c>
      <c r="B3" s="2" t="s">
        <v>11</v>
      </c>
      <c r="C3" s="2" t="s">
        <v>44</v>
      </c>
      <c r="D3" s="2" t="s">
        <v>14</v>
      </c>
      <c r="E3" s="2">
        <v>870</v>
      </c>
      <c r="F3" s="2" t="s">
        <v>16</v>
      </c>
      <c r="G3" s="2">
        <v>32922</v>
      </c>
      <c r="H3" s="6">
        <f t="shared" si="0"/>
        <v>2.6426098049936213</v>
      </c>
      <c r="I3" s="2">
        <v>44720</v>
      </c>
      <c r="J3" s="2">
        <v>0.17550574999999999</v>
      </c>
      <c r="K3" s="2">
        <v>22248.42</v>
      </c>
      <c r="L3" s="2" t="s">
        <v>29</v>
      </c>
      <c r="M3" s="2" t="s">
        <v>46</v>
      </c>
    </row>
    <row r="4" spans="1:14" x14ac:dyDescent="0.35">
      <c r="A4" s="2" t="s">
        <v>10</v>
      </c>
      <c r="B4" s="2" t="s">
        <v>11</v>
      </c>
      <c r="C4" s="2" t="s">
        <v>42</v>
      </c>
      <c r="D4" s="2" t="s">
        <v>14</v>
      </c>
      <c r="E4" s="2">
        <v>2150</v>
      </c>
      <c r="F4" s="2" t="s">
        <v>16</v>
      </c>
      <c r="G4" s="2">
        <v>179604</v>
      </c>
      <c r="H4" s="6">
        <f t="shared" si="0"/>
        <v>1.19707801607982</v>
      </c>
      <c r="I4" s="2">
        <v>321765</v>
      </c>
      <c r="J4" s="2">
        <v>0.47911628000000001</v>
      </c>
      <c r="K4" s="2">
        <v>13872.45</v>
      </c>
      <c r="L4" s="2" t="s">
        <v>23</v>
      </c>
      <c r="M4" s="2" t="s">
        <v>46</v>
      </c>
    </row>
    <row r="5" spans="1:14" x14ac:dyDescent="0.35">
      <c r="A5" s="2" t="s">
        <v>10</v>
      </c>
      <c r="B5" s="2" t="s">
        <v>11</v>
      </c>
      <c r="C5" s="2" t="s">
        <v>43</v>
      </c>
      <c r="D5" s="2" t="s">
        <v>14</v>
      </c>
      <c r="E5" s="2">
        <v>12</v>
      </c>
      <c r="F5" s="2" t="s">
        <v>15</v>
      </c>
      <c r="G5" s="2">
        <v>24091</v>
      </c>
      <c r="H5" s="6">
        <f t="shared" si="0"/>
        <v>4.9811132788178163E-2</v>
      </c>
      <c r="I5" s="2">
        <v>67646</v>
      </c>
      <c r="J5" s="2">
        <v>96.142499999999998</v>
      </c>
      <c r="K5" s="2">
        <v>13667.74</v>
      </c>
      <c r="L5" s="2" t="s">
        <v>29</v>
      </c>
      <c r="M5" s="2" t="s">
        <v>26</v>
      </c>
    </row>
    <row r="6" spans="1:14" x14ac:dyDescent="0.35">
      <c r="A6" s="2" t="s">
        <v>10</v>
      </c>
      <c r="B6" s="2" t="s">
        <v>11</v>
      </c>
      <c r="C6" s="2" t="s">
        <v>32</v>
      </c>
      <c r="D6" s="2" t="s">
        <v>14</v>
      </c>
      <c r="E6" s="2">
        <v>119</v>
      </c>
      <c r="F6" s="2" t="s">
        <v>15</v>
      </c>
      <c r="G6" s="2">
        <v>66925</v>
      </c>
      <c r="H6" s="6">
        <f t="shared" si="0"/>
        <v>0.17781098244303326</v>
      </c>
      <c r="I6" s="2">
        <v>165252</v>
      </c>
      <c r="J6" s="2">
        <v>186.96151261</v>
      </c>
      <c r="K6" s="2">
        <v>8520.44</v>
      </c>
      <c r="L6" s="2" t="s">
        <v>18</v>
      </c>
      <c r="M6" s="2" t="s">
        <v>19</v>
      </c>
    </row>
    <row r="7" spans="1:14" x14ac:dyDescent="0.35">
      <c r="A7" s="2" t="s">
        <v>10</v>
      </c>
      <c r="B7" s="2" t="s">
        <v>11</v>
      </c>
      <c r="C7" s="2" t="s">
        <v>35</v>
      </c>
      <c r="D7" s="2" t="s">
        <v>14</v>
      </c>
      <c r="E7" s="2">
        <v>71</v>
      </c>
      <c r="F7" s="2" t="s">
        <v>15</v>
      </c>
      <c r="G7" s="2">
        <v>31115</v>
      </c>
      <c r="H7" s="6">
        <f t="shared" si="0"/>
        <v>0.22818576249397396</v>
      </c>
      <c r="I7" s="2">
        <v>63868</v>
      </c>
      <c r="J7" s="2">
        <v>195.38661972</v>
      </c>
      <c r="K7" s="2">
        <v>6131.46</v>
      </c>
      <c r="L7" s="2" t="s">
        <v>23</v>
      </c>
      <c r="M7" s="2" t="s">
        <v>24</v>
      </c>
    </row>
    <row r="8" spans="1:14" x14ac:dyDescent="0.35">
      <c r="A8" s="2" t="s">
        <v>10</v>
      </c>
      <c r="B8" s="2" t="s">
        <v>11</v>
      </c>
      <c r="C8" s="2" t="s">
        <v>37</v>
      </c>
      <c r="D8" s="2" t="s">
        <v>14</v>
      </c>
      <c r="E8" s="2">
        <v>69</v>
      </c>
      <c r="F8" s="2" t="s">
        <v>15</v>
      </c>
      <c r="G8" s="2">
        <v>75247</v>
      </c>
      <c r="H8" s="6">
        <f t="shared" si="0"/>
        <v>9.1698007894002426E-2</v>
      </c>
      <c r="I8" s="2">
        <v>192076</v>
      </c>
      <c r="J8" s="2">
        <v>198.08318840999999</v>
      </c>
      <c r="K8" s="2">
        <v>4873.0200000000004</v>
      </c>
      <c r="L8" s="2" t="s">
        <v>23</v>
      </c>
      <c r="M8" s="2" t="s">
        <v>22</v>
      </c>
    </row>
    <row r="9" spans="1:14" x14ac:dyDescent="0.35">
      <c r="A9" s="2" t="s">
        <v>10</v>
      </c>
      <c r="B9" s="2" t="s">
        <v>11</v>
      </c>
      <c r="C9" s="2" t="s">
        <v>41</v>
      </c>
      <c r="D9" s="2" t="s">
        <v>14</v>
      </c>
      <c r="E9" s="2">
        <v>38</v>
      </c>
      <c r="F9" s="2" t="s">
        <v>15</v>
      </c>
      <c r="G9" s="2">
        <v>85287</v>
      </c>
      <c r="H9" s="6">
        <f t="shared" si="0"/>
        <v>4.455544221276396E-2</v>
      </c>
      <c r="I9" s="2">
        <v>172810</v>
      </c>
      <c r="J9" s="2">
        <v>224.22210526000001</v>
      </c>
      <c r="K9" s="2">
        <v>2461.2199999999998</v>
      </c>
      <c r="L9" s="2" t="s">
        <v>23</v>
      </c>
      <c r="M9" s="2" t="s">
        <v>28</v>
      </c>
    </row>
    <row r="10" spans="1:14" x14ac:dyDescent="0.35">
      <c r="A10" s="2" t="s">
        <v>10</v>
      </c>
      <c r="B10" s="2" t="s">
        <v>11</v>
      </c>
      <c r="C10" s="2" t="s">
        <v>34</v>
      </c>
      <c r="D10" s="2" t="s">
        <v>12</v>
      </c>
      <c r="E10" s="2">
        <v>9</v>
      </c>
      <c r="F10" s="2" t="s">
        <v>15</v>
      </c>
      <c r="G10" s="2">
        <v>30965</v>
      </c>
      <c r="H10" s="6">
        <f t="shared" si="0"/>
        <v>2.9065073470046825E-2</v>
      </c>
      <c r="I10" s="2">
        <v>48327</v>
      </c>
      <c r="J10" s="2">
        <v>241.57666667000001</v>
      </c>
      <c r="K10" s="2">
        <v>2174.19</v>
      </c>
      <c r="L10" s="2" t="s">
        <v>25</v>
      </c>
      <c r="M10" s="2" t="s">
        <v>26</v>
      </c>
    </row>
    <row r="11" spans="1:14" x14ac:dyDescent="0.35">
      <c r="A11" s="2" t="s">
        <v>10</v>
      </c>
      <c r="B11" s="2" t="s">
        <v>11</v>
      </c>
      <c r="C11" s="2" t="s">
        <v>36</v>
      </c>
      <c r="D11" s="2" t="s">
        <v>12</v>
      </c>
      <c r="E11" s="2">
        <v>1</v>
      </c>
      <c r="F11" s="2" t="s">
        <v>15</v>
      </c>
      <c r="G11" s="2">
        <v>2666</v>
      </c>
      <c r="H11" s="6">
        <f t="shared" si="0"/>
        <v>3.7509377344336084E-2</v>
      </c>
      <c r="I11" s="2">
        <v>3088</v>
      </c>
      <c r="J11" s="2">
        <v>244.25</v>
      </c>
      <c r="K11" s="2">
        <v>1423.83</v>
      </c>
      <c r="L11" s="2" t="s">
        <v>23</v>
      </c>
      <c r="M11" s="2" t="s">
        <v>22</v>
      </c>
    </row>
    <row r="12" spans="1:14" x14ac:dyDescent="0.35">
      <c r="A12" s="2" t="s">
        <v>10</v>
      </c>
      <c r="B12" s="2" t="s">
        <v>11</v>
      </c>
      <c r="C12" s="2" t="s">
        <v>33</v>
      </c>
      <c r="D12" s="2" t="s">
        <v>14</v>
      </c>
      <c r="E12" s="2">
        <v>86</v>
      </c>
      <c r="F12" s="2" t="s">
        <v>15</v>
      </c>
      <c r="G12" s="2">
        <v>90297</v>
      </c>
      <c r="H12" s="6">
        <f t="shared" si="0"/>
        <v>9.5241259399537079E-2</v>
      </c>
      <c r="I12" s="2">
        <v>174507</v>
      </c>
      <c r="J12" s="2">
        <v>259.84953488000002</v>
      </c>
      <c r="K12" s="2">
        <v>1153.71</v>
      </c>
      <c r="L12" s="2" t="s">
        <v>18</v>
      </c>
      <c r="M12" s="2" t="s">
        <v>21</v>
      </c>
    </row>
    <row r="13" spans="1:14" x14ac:dyDescent="0.35">
      <c r="A13" s="2" t="s">
        <v>10</v>
      </c>
      <c r="B13" s="2" t="s">
        <v>11</v>
      </c>
      <c r="C13" s="2" t="s">
        <v>40</v>
      </c>
      <c r="D13" s="2" t="s">
        <v>12</v>
      </c>
      <c r="E13" s="2">
        <v>18</v>
      </c>
      <c r="F13" s="2" t="s">
        <v>15</v>
      </c>
      <c r="G13" s="2">
        <v>35462</v>
      </c>
      <c r="H13" s="6">
        <f t="shared" si="0"/>
        <v>5.0758558456939828E-2</v>
      </c>
      <c r="I13" s="2">
        <v>68593</v>
      </c>
      <c r="J13" s="2">
        <v>340.63666667000001</v>
      </c>
      <c r="K13" s="2">
        <v>1030.0999999999999</v>
      </c>
      <c r="L13" s="2" t="s">
        <v>23</v>
      </c>
      <c r="M13" s="2" t="s">
        <v>27</v>
      </c>
    </row>
    <row r="14" spans="1:14" x14ac:dyDescent="0.35">
      <c r="A14" s="2" t="s">
        <v>10</v>
      </c>
      <c r="B14" s="2" t="s">
        <v>11</v>
      </c>
      <c r="C14" s="2" t="s">
        <v>38</v>
      </c>
      <c r="D14" s="2" t="s">
        <v>12</v>
      </c>
      <c r="E14" s="2">
        <v>12</v>
      </c>
      <c r="F14" s="2" t="s">
        <v>15</v>
      </c>
      <c r="G14" s="2">
        <v>50313</v>
      </c>
      <c r="H14" s="6">
        <f t="shared" si="0"/>
        <v>2.3850694651481725E-2</v>
      </c>
      <c r="I14" s="2">
        <v>81769</v>
      </c>
      <c r="J14" s="2">
        <v>406.08499999999998</v>
      </c>
      <c r="K14" s="2">
        <v>244.25</v>
      </c>
      <c r="L14" s="2" t="s">
        <v>23</v>
      </c>
      <c r="M14" s="2" t="s">
        <v>20</v>
      </c>
    </row>
    <row r="15" spans="1:14" x14ac:dyDescent="0.35">
      <c r="A15" s="2" t="s">
        <v>10</v>
      </c>
      <c r="B15" s="2" t="s">
        <v>11</v>
      </c>
      <c r="C15" s="2" t="s">
        <v>39</v>
      </c>
      <c r="D15" s="2" t="s">
        <v>12</v>
      </c>
      <c r="E15" s="2">
        <v>2</v>
      </c>
      <c r="F15" s="2" t="s">
        <v>15</v>
      </c>
      <c r="G15" s="2">
        <v>10258</v>
      </c>
      <c r="H15" s="6">
        <f t="shared" si="0"/>
        <v>1.9496977968414896E-2</v>
      </c>
      <c r="I15" s="2">
        <v>17061</v>
      </c>
      <c r="J15" s="2">
        <v>711.91499999999996</v>
      </c>
      <c r="K15" s="2">
        <v>152.69</v>
      </c>
      <c r="L15" s="2" t="s">
        <v>23</v>
      </c>
      <c r="M15" s="2" t="s">
        <v>27</v>
      </c>
    </row>
    <row r="16" spans="1:14" x14ac:dyDescent="0.35">
      <c r="A16" s="2" t="s">
        <v>10</v>
      </c>
      <c r="B16" s="2" t="s">
        <v>11</v>
      </c>
      <c r="C16" s="2" t="s">
        <v>45</v>
      </c>
      <c r="D16" s="2" t="s">
        <v>14</v>
      </c>
      <c r="E16" s="2"/>
      <c r="F16" s="2"/>
      <c r="G16" s="2">
        <v>1904</v>
      </c>
      <c r="H16" s="6">
        <f t="shared" si="0"/>
        <v>0</v>
      </c>
      <c r="I16" s="2">
        <v>2207</v>
      </c>
      <c r="J16" s="2"/>
      <c r="K16" s="2">
        <v>112.43</v>
      </c>
      <c r="L16" s="2" t="s">
        <v>29</v>
      </c>
      <c r="M16" s="2" t="s">
        <v>30</v>
      </c>
      <c r="N16" s="4"/>
    </row>
    <row r="17" spans="1:14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4"/>
    </row>
    <row r="18" spans="1:14" x14ac:dyDescent="0.35">
      <c r="C18" t="s">
        <v>45</v>
      </c>
      <c r="N18" s="4"/>
    </row>
    <row r="19" spans="1:14" x14ac:dyDescent="0.35">
      <c r="N19" s="4"/>
    </row>
  </sheetData>
  <sheetProtection formatCells="0" formatColumns="0" formatRows="0" insertColumns="0" insertRows="0" insertHyperlinks="0" deleteColumns="0" deleteRows="0" sort="0" autoFilter="0" pivotTables="0"/>
  <autoFilter ref="M1:M18" xr:uid="{00000000-0001-0000-0000-000000000000}"/>
  <sortState xmlns:xlrd2="http://schemas.microsoft.com/office/spreadsheetml/2017/richdata2" ref="J2:J20">
    <sortCondition ref="J1:J20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C455-DBA4-49BE-98A5-1C8570073C4E}">
  <sheetPr codeName="Sheet2"/>
  <dimension ref="A1:P34"/>
  <sheetViews>
    <sheetView tabSelected="1" topLeftCell="A18" workbookViewId="0">
      <selection activeCell="J3" sqref="J3"/>
    </sheetView>
  </sheetViews>
  <sheetFormatPr defaultRowHeight="14.5" x14ac:dyDescent="0.35"/>
  <cols>
    <col min="1" max="1" width="15.08984375" bestFit="1" customWidth="1"/>
    <col min="2" max="2" width="14.54296875" bestFit="1" customWidth="1"/>
    <col min="3" max="3" width="48.90625" bestFit="1" customWidth="1"/>
    <col min="4" max="4" width="17.6328125" bestFit="1" customWidth="1"/>
    <col min="5" max="5" width="18.54296875" bestFit="1" customWidth="1"/>
    <col min="6" max="6" width="22.90625" bestFit="1" customWidth="1"/>
    <col min="8" max="8" width="58.453125" bestFit="1" customWidth="1"/>
    <col min="10" max="10" width="21.6328125" customWidth="1"/>
    <col min="15" max="15" width="19.08984375" bestFit="1" customWidth="1"/>
    <col min="16" max="16" width="22.54296875" customWidth="1"/>
    <col min="17" max="17" width="11.54296875" customWidth="1"/>
  </cols>
  <sheetData>
    <row r="1" spans="1:1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48</v>
      </c>
      <c r="F1" s="3" t="s">
        <v>49</v>
      </c>
      <c r="G1" s="3" t="s">
        <v>4</v>
      </c>
      <c r="H1" s="3" t="s">
        <v>5</v>
      </c>
      <c r="I1" s="3" t="s">
        <v>6</v>
      </c>
      <c r="J1" s="3" t="s">
        <v>86</v>
      </c>
      <c r="K1" s="3" t="s">
        <v>7</v>
      </c>
      <c r="L1" s="3" t="s">
        <v>8</v>
      </c>
      <c r="M1" s="3" t="s">
        <v>9</v>
      </c>
      <c r="N1" s="3" t="s">
        <v>47</v>
      </c>
      <c r="O1" s="3" t="s">
        <v>17</v>
      </c>
    </row>
    <row r="2" spans="1:15" x14ac:dyDescent="0.35">
      <c r="A2" t="s">
        <v>10</v>
      </c>
      <c r="B2" t="s">
        <v>11</v>
      </c>
      <c r="C2" t="s">
        <v>66</v>
      </c>
      <c r="D2" t="s">
        <v>12</v>
      </c>
      <c r="E2" t="s">
        <v>51</v>
      </c>
      <c r="F2" t="s">
        <v>52</v>
      </c>
      <c r="G2">
        <v>175</v>
      </c>
      <c r="H2" t="s">
        <v>53</v>
      </c>
      <c r="I2">
        <v>29012</v>
      </c>
      <c r="J2">
        <f t="shared" ref="J2:J28" si="0">(G2/I2)*100</f>
        <v>0.60319867640976144</v>
      </c>
      <c r="K2">
        <v>77324</v>
      </c>
      <c r="L2">
        <v>84.83937143</v>
      </c>
      <c r="M2">
        <v>14846.89</v>
      </c>
      <c r="N2" t="s">
        <v>54</v>
      </c>
      <c r="O2" t="s">
        <v>20</v>
      </c>
    </row>
    <row r="3" spans="1:15" x14ac:dyDescent="0.35">
      <c r="A3" t="s">
        <v>10</v>
      </c>
      <c r="B3" t="s">
        <v>11</v>
      </c>
      <c r="C3" t="s">
        <v>85</v>
      </c>
      <c r="D3" t="s">
        <v>14</v>
      </c>
      <c r="E3" t="s">
        <v>51</v>
      </c>
      <c r="F3" t="s">
        <v>52</v>
      </c>
      <c r="G3">
        <v>16</v>
      </c>
      <c r="H3" t="s">
        <v>53</v>
      </c>
      <c r="I3">
        <v>2679</v>
      </c>
      <c r="J3">
        <f t="shared" si="0"/>
        <v>0.59723777528928701</v>
      </c>
      <c r="K3">
        <v>3192</v>
      </c>
      <c r="L3">
        <v>43.661250000000003</v>
      </c>
      <c r="M3">
        <v>698.58</v>
      </c>
      <c r="N3" t="s">
        <v>54</v>
      </c>
      <c r="O3" t="s">
        <v>20</v>
      </c>
    </row>
    <row r="4" spans="1:15" x14ac:dyDescent="0.35">
      <c r="A4" t="s">
        <v>10</v>
      </c>
      <c r="B4" t="s">
        <v>11</v>
      </c>
      <c r="C4" t="s">
        <v>64</v>
      </c>
      <c r="D4" t="s">
        <v>14</v>
      </c>
      <c r="E4" t="s">
        <v>51</v>
      </c>
      <c r="F4" t="s">
        <v>52</v>
      </c>
      <c r="G4">
        <v>81</v>
      </c>
      <c r="H4" t="s">
        <v>53</v>
      </c>
      <c r="I4">
        <v>15738</v>
      </c>
      <c r="J4">
        <f t="shared" si="0"/>
        <v>0.51467784979031639</v>
      </c>
      <c r="K4">
        <v>34774</v>
      </c>
      <c r="L4">
        <v>137.66567900999999</v>
      </c>
      <c r="M4">
        <v>11150.92</v>
      </c>
      <c r="N4" t="s">
        <v>54</v>
      </c>
      <c r="O4" t="s">
        <v>62</v>
      </c>
    </row>
    <row r="5" spans="1:15" x14ac:dyDescent="0.35">
      <c r="A5" t="s">
        <v>10</v>
      </c>
      <c r="B5" t="s">
        <v>11</v>
      </c>
      <c r="C5" t="s">
        <v>50</v>
      </c>
      <c r="D5" t="s">
        <v>12</v>
      </c>
      <c r="E5" t="s">
        <v>51</v>
      </c>
      <c r="F5" t="s">
        <v>52</v>
      </c>
      <c r="G5">
        <v>109</v>
      </c>
      <c r="H5" t="s">
        <v>53</v>
      </c>
      <c r="I5">
        <v>26669</v>
      </c>
      <c r="J5">
        <f t="shared" si="0"/>
        <v>0.40871423750421843</v>
      </c>
      <c r="K5">
        <v>65104</v>
      </c>
      <c r="L5">
        <v>117.5906422</v>
      </c>
      <c r="M5">
        <v>12817.38</v>
      </c>
      <c r="N5" t="s">
        <v>54</v>
      </c>
      <c r="O5" t="s">
        <v>22</v>
      </c>
    </row>
    <row r="6" spans="1:15" x14ac:dyDescent="0.35">
      <c r="A6" t="s">
        <v>10</v>
      </c>
      <c r="B6" t="s">
        <v>11</v>
      </c>
      <c r="C6" t="s">
        <v>84</v>
      </c>
      <c r="D6" t="s">
        <v>14</v>
      </c>
      <c r="E6" t="s">
        <v>51</v>
      </c>
      <c r="F6" t="s">
        <v>52</v>
      </c>
      <c r="G6">
        <v>9</v>
      </c>
      <c r="H6" t="s">
        <v>53</v>
      </c>
      <c r="I6">
        <v>2549</v>
      </c>
      <c r="J6">
        <f t="shared" si="0"/>
        <v>0.35307963907414669</v>
      </c>
      <c r="K6">
        <v>3829</v>
      </c>
      <c r="L6">
        <v>105.33222222000001</v>
      </c>
      <c r="M6">
        <v>947.99</v>
      </c>
      <c r="N6" t="s">
        <v>54</v>
      </c>
      <c r="O6" t="s">
        <v>22</v>
      </c>
    </row>
    <row r="7" spans="1:15" x14ac:dyDescent="0.35">
      <c r="A7" t="s">
        <v>10</v>
      </c>
      <c r="B7" t="s">
        <v>11</v>
      </c>
      <c r="C7" t="s">
        <v>61</v>
      </c>
      <c r="D7" t="s">
        <v>14</v>
      </c>
      <c r="E7" t="s">
        <v>51</v>
      </c>
      <c r="F7" t="s">
        <v>52</v>
      </c>
      <c r="G7">
        <v>64</v>
      </c>
      <c r="H7" t="s">
        <v>53</v>
      </c>
      <c r="I7">
        <v>19062</v>
      </c>
      <c r="J7">
        <f t="shared" si="0"/>
        <v>0.33574651138390516</v>
      </c>
      <c r="K7">
        <v>50480</v>
      </c>
      <c r="L7">
        <v>87.398593750000003</v>
      </c>
      <c r="M7">
        <v>5593.51</v>
      </c>
      <c r="N7" t="s">
        <v>56</v>
      </c>
      <c r="O7" t="s">
        <v>62</v>
      </c>
    </row>
    <row r="8" spans="1:15" x14ac:dyDescent="0.35">
      <c r="A8" t="s">
        <v>10</v>
      </c>
      <c r="B8" t="s">
        <v>11</v>
      </c>
      <c r="C8" t="s">
        <v>76</v>
      </c>
      <c r="D8" t="s">
        <v>12</v>
      </c>
      <c r="E8" t="s">
        <v>51</v>
      </c>
      <c r="F8" t="s">
        <v>52</v>
      </c>
      <c r="G8">
        <v>34</v>
      </c>
      <c r="H8" t="s">
        <v>15</v>
      </c>
      <c r="I8">
        <v>10960</v>
      </c>
      <c r="J8">
        <f t="shared" si="0"/>
        <v>0.31021897810218979</v>
      </c>
      <c r="K8">
        <v>15881</v>
      </c>
      <c r="L8">
        <v>67.407352939999996</v>
      </c>
      <c r="M8">
        <v>2291.85</v>
      </c>
      <c r="N8" t="s">
        <v>54</v>
      </c>
      <c r="O8" t="s">
        <v>20</v>
      </c>
    </row>
    <row r="9" spans="1:15" x14ac:dyDescent="0.35">
      <c r="A9" t="s">
        <v>10</v>
      </c>
      <c r="B9" t="s">
        <v>11</v>
      </c>
      <c r="C9" t="s">
        <v>69</v>
      </c>
      <c r="D9" t="s">
        <v>12</v>
      </c>
      <c r="E9" t="s">
        <v>51</v>
      </c>
      <c r="F9" t="s">
        <v>52</v>
      </c>
      <c r="G9">
        <v>48</v>
      </c>
      <c r="H9" t="s">
        <v>53</v>
      </c>
      <c r="I9">
        <v>17760</v>
      </c>
      <c r="J9">
        <f t="shared" si="0"/>
        <v>0.27027027027027029</v>
      </c>
      <c r="K9">
        <v>35269</v>
      </c>
      <c r="L9">
        <v>68.361874999999998</v>
      </c>
      <c r="M9">
        <v>3281.37</v>
      </c>
      <c r="N9" t="s">
        <v>68</v>
      </c>
      <c r="O9" t="s">
        <v>19</v>
      </c>
    </row>
    <row r="10" spans="1:15" x14ac:dyDescent="0.35">
      <c r="A10" t="s">
        <v>10</v>
      </c>
      <c r="B10" t="s">
        <v>11</v>
      </c>
      <c r="C10" t="s">
        <v>67</v>
      </c>
      <c r="D10" t="s">
        <v>12</v>
      </c>
      <c r="E10" t="s">
        <v>51</v>
      </c>
      <c r="F10" t="s">
        <v>52</v>
      </c>
      <c r="G10">
        <v>33</v>
      </c>
      <c r="H10" t="s">
        <v>53</v>
      </c>
      <c r="I10">
        <v>13303</v>
      </c>
      <c r="J10">
        <f t="shared" si="0"/>
        <v>0.24806434638803276</v>
      </c>
      <c r="K10">
        <v>31024</v>
      </c>
      <c r="L10">
        <v>119.94848485</v>
      </c>
      <c r="M10">
        <v>3958.3</v>
      </c>
      <c r="N10" t="s">
        <v>68</v>
      </c>
      <c r="O10" t="s">
        <v>62</v>
      </c>
    </row>
    <row r="11" spans="1:15" x14ac:dyDescent="0.35">
      <c r="A11" t="s">
        <v>10</v>
      </c>
      <c r="B11" t="s">
        <v>11</v>
      </c>
      <c r="C11" t="s">
        <v>63</v>
      </c>
      <c r="D11" t="s">
        <v>12</v>
      </c>
      <c r="E11" t="s">
        <v>51</v>
      </c>
      <c r="F11" t="s">
        <v>52</v>
      </c>
      <c r="G11">
        <v>17</v>
      </c>
      <c r="H11" t="s">
        <v>15</v>
      </c>
      <c r="I11">
        <v>8803</v>
      </c>
      <c r="J11">
        <f t="shared" si="0"/>
        <v>0.19311598318754972</v>
      </c>
      <c r="K11">
        <v>11286</v>
      </c>
      <c r="L11">
        <v>120.78235294</v>
      </c>
      <c r="M11">
        <v>2053.3000000000002</v>
      </c>
      <c r="N11" t="s">
        <v>54</v>
      </c>
      <c r="O11" t="s">
        <v>20</v>
      </c>
    </row>
    <row r="12" spans="1:15" x14ac:dyDescent="0.35">
      <c r="A12" t="s">
        <v>10</v>
      </c>
      <c r="B12" t="s">
        <v>11</v>
      </c>
      <c r="C12" t="s">
        <v>83</v>
      </c>
      <c r="D12" t="s">
        <v>14</v>
      </c>
      <c r="E12" t="s">
        <v>51</v>
      </c>
      <c r="F12" t="s">
        <v>52</v>
      </c>
      <c r="G12">
        <v>2</v>
      </c>
      <c r="H12" t="s">
        <v>53</v>
      </c>
      <c r="I12">
        <v>1231</v>
      </c>
      <c r="J12">
        <f t="shared" si="0"/>
        <v>0.16246953696181965</v>
      </c>
      <c r="K12">
        <v>1365</v>
      </c>
      <c r="L12">
        <v>104.32</v>
      </c>
      <c r="M12">
        <v>208.64</v>
      </c>
      <c r="N12" t="s">
        <v>56</v>
      </c>
      <c r="O12" t="s">
        <v>24</v>
      </c>
    </row>
    <row r="13" spans="1:15" x14ac:dyDescent="0.35">
      <c r="A13" t="s">
        <v>10</v>
      </c>
      <c r="B13" t="s">
        <v>11</v>
      </c>
      <c r="C13" t="s">
        <v>58</v>
      </c>
      <c r="D13" t="s">
        <v>12</v>
      </c>
      <c r="E13" t="s">
        <v>51</v>
      </c>
      <c r="F13" t="s">
        <v>52</v>
      </c>
      <c r="G13">
        <v>84</v>
      </c>
      <c r="H13" t="s">
        <v>53</v>
      </c>
      <c r="I13">
        <v>55584</v>
      </c>
      <c r="J13">
        <f t="shared" si="0"/>
        <v>0.15112262521588948</v>
      </c>
      <c r="K13">
        <v>115869</v>
      </c>
      <c r="L13">
        <v>178.65904762</v>
      </c>
      <c r="M13">
        <v>15007.36</v>
      </c>
      <c r="N13" t="s">
        <v>56</v>
      </c>
      <c r="O13" t="s">
        <v>59</v>
      </c>
    </row>
    <row r="14" spans="1:15" x14ac:dyDescent="0.35">
      <c r="A14" t="s">
        <v>10</v>
      </c>
      <c r="B14" t="s">
        <v>11</v>
      </c>
      <c r="C14" t="s">
        <v>71</v>
      </c>
      <c r="D14" t="s">
        <v>12</v>
      </c>
      <c r="E14" t="s">
        <v>51</v>
      </c>
      <c r="F14" t="s">
        <v>52</v>
      </c>
      <c r="G14">
        <v>2</v>
      </c>
      <c r="H14" t="s">
        <v>72</v>
      </c>
      <c r="I14">
        <v>1445</v>
      </c>
      <c r="J14">
        <f t="shared" si="0"/>
        <v>0.13840830449826988</v>
      </c>
      <c r="K14">
        <v>1554</v>
      </c>
      <c r="L14">
        <v>35.369999999999997</v>
      </c>
      <c r="M14">
        <v>70.739999999999995</v>
      </c>
      <c r="N14" t="s">
        <v>56</v>
      </c>
      <c r="O14" t="s">
        <v>20</v>
      </c>
    </row>
    <row r="15" spans="1:15" x14ac:dyDescent="0.35">
      <c r="A15" t="s">
        <v>10</v>
      </c>
      <c r="B15" t="s">
        <v>11</v>
      </c>
      <c r="C15" t="s">
        <v>73</v>
      </c>
      <c r="D15" t="s">
        <v>12</v>
      </c>
      <c r="E15" t="s">
        <v>51</v>
      </c>
      <c r="F15" t="s">
        <v>52</v>
      </c>
      <c r="G15">
        <v>2</v>
      </c>
      <c r="H15" t="s">
        <v>72</v>
      </c>
      <c r="I15">
        <v>1765</v>
      </c>
      <c r="J15">
        <f t="shared" si="0"/>
        <v>0.11331444759206798</v>
      </c>
      <c r="K15">
        <v>2017</v>
      </c>
      <c r="L15">
        <v>42.555</v>
      </c>
      <c r="M15">
        <v>85.11</v>
      </c>
      <c r="N15" t="s">
        <v>56</v>
      </c>
      <c r="O15" t="s">
        <v>22</v>
      </c>
    </row>
    <row r="16" spans="1:15" x14ac:dyDescent="0.35">
      <c r="A16" t="s">
        <v>10</v>
      </c>
      <c r="B16" t="s">
        <v>11</v>
      </c>
      <c r="C16" t="s">
        <v>65</v>
      </c>
      <c r="D16" t="s">
        <v>12</v>
      </c>
      <c r="E16" t="s">
        <v>51</v>
      </c>
      <c r="F16" t="s">
        <v>52</v>
      </c>
      <c r="G16">
        <v>105</v>
      </c>
      <c r="H16" t="s">
        <v>53</v>
      </c>
      <c r="I16">
        <v>106866</v>
      </c>
      <c r="J16">
        <f t="shared" si="0"/>
        <v>9.8253888046712701E-2</v>
      </c>
      <c r="K16">
        <v>224268</v>
      </c>
      <c r="L16">
        <v>103.79895238</v>
      </c>
      <c r="M16">
        <v>10898.89</v>
      </c>
      <c r="N16" t="s">
        <v>56</v>
      </c>
      <c r="O16" t="s">
        <v>20</v>
      </c>
    </row>
    <row r="17" spans="1:16" x14ac:dyDescent="0.35">
      <c r="A17" t="s">
        <v>10</v>
      </c>
      <c r="B17" t="s">
        <v>11</v>
      </c>
      <c r="C17" t="s">
        <v>74</v>
      </c>
      <c r="D17" t="s">
        <v>12</v>
      </c>
      <c r="E17" t="s">
        <v>51</v>
      </c>
      <c r="F17" t="s">
        <v>52</v>
      </c>
      <c r="G17">
        <v>22</v>
      </c>
      <c r="H17" t="s">
        <v>15</v>
      </c>
      <c r="I17">
        <v>23143</v>
      </c>
      <c r="J17">
        <f t="shared" si="0"/>
        <v>9.5061141597891377E-2</v>
      </c>
      <c r="K17">
        <v>38161</v>
      </c>
      <c r="L17">
        <v>158.76454545000001</v>
      </c>
      <c r="M17">
        <v>3492.82</v>
      </c>
      <c r="N17" t="s">
        <v>56</v>
      </c>
      <c r="O17" t="s">
        <v>27</v>
      </c>
    </row>
    <row r="18" spans="1:16" x14ac:dyDescent="0.35">
      <c r="A18" t="s">
        <v>10</v>
      </c>
      <c r="B18" t="s">
        <v>11</v>
      </c>
      <c r="C18" t="s">
        <v>81</v>
      </c>
      <c r="D18" t="s">
        <v>14</v>
      </c>
      <c r="E18" t="s">
        <v>51</v>
      </c>
      <c r="F18" t="s">
        <v>52</v>
      </c>
      <c r="G18">
        <v>4</v>
      </c>
      <c r="H18" t="s">
        <v>53</v>
      </c>
      <c r="I18">
        <v>5390</v>
      </c>
      <c r="J18">
        <f t="shared" si="0"/>
        <v>7.4211502782931357E-2</v>
      </c>
      <c r="K18">
        <v>6395</v>
      </c>
      <c r="L18">
        <v>104.3175</v>
      </c>
      <c r="M18">
        <v>417.27</v>
      </c>
      <c r="N18" t="s">
        <v>56</v>
      </c>
      <c r="O18" t="s">
        <v>20</v>
      </c>
    </row>
    <row r="19" spans="1:16" x14ac:dyDescent="0.35">
      <c r="A19" t="s">
        <v>10</v>
      </c>
      <c r="B19" t="s">
        <v>11</v>
      </c>
      <c r="C19" t="s">
        <v>60</v>
      </c>
      <c r="D19" t="s">
        <v>14</v>
      </c>
      <c r="E19" t="s">
        <v>51</v>
      </c>
      <c r="F19" t="s">
        <v>52</v>
      </c>
      <c r="G19">
        <v>68</v>
      </c>
      <c r="H19" t="s">
        <v>15</v>
      </c>
      <c r="I19">
        <v>103525</v>
      </c>
      <c r="J19">
        <f t="shared" si="0"/>
        <v>6.5684617242212029E-2</v>
      </c>
      <c r="K19">
        <v>217718</v>
      </c>
      <c r="L19">
        <v>137.55205882000001</v>
      </c>
      <c r="M19">
        <v>9353.5400000000009</v>
      </c>
      <c r="N19" t="s">
        <v>56</v>
      </c>
      <c r="O19" t="s">
        <v>59</v>
      </c>
    </row>
    <row r="20" spans="1:16" x14ac:dyDescent="0.35">
      <c r="A20" t="s">
        <v>10</v>
      </c>
      <c r="B20" t="s">
        <v>11</v>
      </c>
      <c r="C20" t="s">
        <v>57</v>
      </c>
      <c r="D20" t="s">
        <v>14</v>
      </c>
      <c r="E20" t="s">
        <v>51</v>
      </c>
      <c r="F20" t="s">
        <v>52</v>
      </c>
      <c r="G20">
        <v>131</v>
      </c>
      <c r="H20" t="s">
        <v>15</v>
      </c>
      <c r="I20">
        <v>221185</v>
      </c>
      <c r="J20">
        <f t="shared" si="0"/>
        <v>5.9226439405927166E-2</v>
      </c>
      <c r="K20">
        <v>456380</v>
      </c>
      <c r="L20">
        <v>95.859312979999999</v>
      </c>
      <c r="M20">
        <v>12557.57</v>
      </c>
      <c r="N20" t="s">
        <v>56</v>
      </c>
      <c r="O20" t="s">
        <v>20</v>
      </c>
    </row>
    <row r="21" spans="1:16" x14ac:dyDescent="0.35">
      <c r="A21" t="s">
        <v>10</v>
      </c>
      <c r="B21" t="s">
        <v>11</v>
      </c>
      <c r="C21" t="s">
        <v>82</v>
      </c>
      <c r="D21" t="s">
        <v>14</v>
      </c>
      <c r="E21" t="s">
        <v>51</v>
      </c>
      <c r="F21" t="s">
        <v>52</v>
      </c>
      <c r="G21">
        <v>2</v>
      </c>
      <c r="H21" t="s">
        <v>53</v>
      </c>
      <c r="I21">
        <v>4398</v>
      </c>
      <c r="J21">
        <f t="shared" si="0"/>
        <v>4.5475216007276033E-2</v>
      </c>
      <c r="K21">
        <v>5345</v>
      </c>
      <c r="L21">
        <v>262.83</v>
      </c>
      <c r="M21">
        <v>525.66</v>
      </c>
      <c r="N21" t="s">
        <v>56</v>
      </c>
      <c r="O21" t="s">
        <v>22</v>
      </c>
    </row>
    <row r="22" spans="1:16" x14ac:dyDescent="0.35">
      <c r="A22" t="s">
        <v>10</v>
      </c>
      <c r="B22" t="s">
        <v>11</v>
      </c>
      <c r="C22" t="s">
        <v>70</v>
      </c>
      <c r="D22" t="s">
        <v>12</v>
      </c>
      <c r="E22" t="s">
        <v>51</v>
      </c>
      <c r="F22" t="s">
        <v>52</v>
      </c>
      <c r="G22">
        <v>3</v>
      </c>
      <c r="H22" t="s">
        <v>53</v>
      </c>
      <c r="I22">
        <v>7995</v>
      </c>
      <c r="J22">
        <f t="shared" si="0"/>
        <v>3.7523452157598502E-2</v>
      </c>
      <c r="K22">
        <v>10230</v>
      </c>
      <c r="L22">
        <v>211.61333332999999</v>
      </c>
      <c r="M22">
        <v>634.84</v>
      </c>
      <c r="N22" t="s">
        <v>56</v>
      </c>
      <c r="O22" t="s">
        <v>20</v>
      </c>
    </row>
    <row r="23" spans="1:16" x14ac:dyDescent="0.35">
      <c r="A23" t="s">
        <v>10</v>
      </c>
      <c r="B23" t="s">
        <v>11</v>
      </c>
      <c r="C23" t="s">
        <v>78</v>
      </c>
      <c r="D23" t="s">
        <v>12</v>
      </c>
      <c r="E23" t="s">
        <v>51</v>
      </c>
      <c r="F23" t="s">
        <v>52</v>
      </c>
      <c r="G23">
        <v>13</v>
      </c>
      <c r="H23" t="s">
        <v>15</v>
      </c>
      <c r="I23">
        <v>36006</v>
      </c>
      <c r="J23">
        <f t="shared" si="0"/>
        <v>3.610509359551186E-2</v>
      </c>
      <c r="K23">
        <v>52860</v>
      </c>
      <c r="L23">
        <v>98.969230769999996</v>
      </c>
      <c r="M23">
        <v>1286.5999999999999</v>
      </c>
      <c r="N23" t="s">
        <v>56</v>
      </c>
      <c r="O23" t="s">
        <v>20</v>
      </c>
    </row>
    <row r="24" spans="1:16" x14ac:dyDescent="0.35">
      <c r="A24" t="s">
        <v>10</v>
      </c>
      <c r="B24" t="s">
        <v>11</v>
      </c>
      <c r="C24" t="s">
        <v>80</v>
      </c>
      <c r="D24" t="s">
        <v>12</v>
      </c>
      <c r="E24" t="s">
        <v>51</v>
      </c>
      <c r="F24" t="s">
        <v>52</v>
      </c>
      <c r="G24">
        <v>1</v>
      </c>
      <c r="H24" t="s">
        <v>53</v>
      </c>
      <c r="I24">
        <v>4056</v>
      </c>
      <c r="J24">
        <f t="shared" si="0"/>
        <v>2.465483234714004E-2</v>
      </c>
      <c r="K24">
        <v>5422</v>
      </c>
      <c r="L24">
        <v>1006.01</v>
      </c>
      <c r="M24">
        <v>1006.01</v>
      </c>
      <c r="N24" t="s">
        <v>56</v>
      </c>
      <c r="O24" t="s">
        <v>24</v>
      </c>
    </row>
    <row r="25" spans="1:16" x14ac:dyDescent="0.35">
      <c r="A25" t="s">
        <v>10</v>
      </c>
      <c r="B25" t="s">
        <v>11</v>
      </c>
      <c r="C25" t="s">
        <v>55</v>
      </c>
      <c r="D25" t="s">
        <v>12</v>
      </c>
      <c r="E25" t="s">
        <v>51</v>
      </c>
      <c r="F25" t="s">
        <v>52</v>
      </c>
      <c r="G25">
        <v>1</v>
      </c>
      <c r="H25" t="s">
        <v>15</v>
      </c>
      <c r="I25">
        <v>4381</v>
      </c>
      <c r="J25">
        <f t="shared" si="0"/>
        <v>2.2825838849577722E-2</v>
      </c>
      <c r="K25">
        <v>7707</v>
      </c>
      <c r="L25">
        <v>514.6</v>
      </c>
      <c r="M25">
        <v>514.6</v>
      </c>
      <c r="N25" t="s">
        <v>56</v>
      </c>
      <c r="O25" t="s">
        <v>27</v>
      </c>
    </row>
    <row r="26" spans="1:16" x14ac:dyDescent="0.35">
      <c r="A26" t="s">
        <v>10</v>
      </c>
      <c r="B26" t="s">
        <v>11</v>
      </c>
      <c r="C26" t="s">
        <v>77</v>
      </c>
      <c r="D26" t="s">
        <v>12</v>
      </c>
      <c r="E26" t="s">
        <v>51</v>
      </c>
      <c r="F26" t="s">
        <v>52</v>
      </c>
      <c r="G26">
        <v>13</v>
      </c>
      <c r="H26" t="s">
        <v>53</v>
      </c>
      <c r="I26">
        <v>66911</v>
      </c>
      <c r="J26">
        <f t="shared" si="0"/>
        <v>1.9428793471925394E-2</v>
      </c>
      <c r="K26">
        <v>116564</v>
      </c>
      <c r="L26">
        <v>181.40153846000001</v>
      </c>
      <c r="M26">
        <v>2358.2199999999998</v>
      </c>
      <c r="N26" t="s">
        <v>56</v>
      </c>
      <c r="O26" t="s">
        <v>22</v>
      </c>
    </row>
    <row r="27" spans="1:16" x14ac:dyDescent="0.35">
      <c r="A27" t="s">
        <v>10</v>
      </c>
      <c r="B27" t="s">
        <v>11</v>
      </c>
      <c r="C27" t="s">
        <v>75</v>
      </c>
      <c r="D27" t="s">
        <v>12</v>
      </c>
      <c r="E27" t="s">
        <v>51</v>
      </c>
      <c r="F27" t="s">
        <v>52</v>
      </c>
      <c r="I27">
        <v>1944</v>
      </c>
      <c r="J27">
        <f t="shared" si="0"/>
        <v>0</v>
      </c>
      <c r="K27">
        <v>2079</v>
      </c>
      <c r="M27">
        <v>135.34</v>
      </c>
      <c r="N27" t="s">
        <v>56</v>
      </c>
      <c r="O27" t="s">
        <v>20</v>
      </c>
    </row>
    <row r="28" spans="1:16" x14ac:dyDescent="0.35">
      <c r="A28" t="s">
        <v>10</v>
      </c>
      <c r="B28" t="s">
        <v>11</v>
      </c>
      <c r="C28" t="s">
        <v>79</v>
      </c>
      <c r="D28" t="s">
        <v>12</v>
      </c>
      <c r="E28" t="s">
        <v>51</v>
      </c>
      <c r="F28" t="s">
        <v>52</v>
      </c>
      <c r="I28">
        <v>3345</v>
      </c>
      <c r="J28">
        <f t="shared" si="0"/>
        <v>0</v>
      </c>
      <c r="K28">
        <v>3397</v>
      </c>
      <c r="M28">
        <v>40.15</v>
      </c>
      <c r="N28" t="s">
        <v>56</v>
      </c>
      <c r="O28" t="s">
        <v>22</v>
      </c>
    </row>
    <row r="30" spans="1:16" x14ac:dyDescent="0.35">
      <c r="P30" s="4"/>
    </row>
    <row r="31" spans="1:16" x14ac:dyDescent="0.35">
      <c r="P31" s="4"/>
    </row>
    <row r="32" spans="1:16" x14ac:dyDescent="0.35">
      <c r="P32" s="4"/>
    </row>
    <row r="33" spans="16:16" x14ac:dyDescent="0.35">
      <c r="P33" s="4"/>
    </row>
    <row r="34" spans="16:16" x14ac:dyDescent="0.35">
      <c r="P34" s="4"/>
    </row>
  </sheetData>
  <autoFilter ref="C1:C39" xr:uid="{B0E4C455-DBA4-49BE-98A5-1C8570073C4E}"/>
  <sortState xmlns:xlrd2="http://schemas.microsoft.com/office/spreadsheetml/2017/richdata2" ref="A2:O34">
    <sortCondition descending="1" ref="J1:J3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EFA28-90CE-42C8-8BBC-F5A1D66C4F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MALAPPURAM</vt:lpstr>
      <vt:lpstr>OTHER BRANCHES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christy rajan</cp:lastModifiedBy>
  <dcterms:created xsi:type="dcterms:W3CDTF">2025-03-01T07:59:49Z</dcterms:created>
  <dcterms:modified xsi:type="dcterms:W3CDTF">2025-05-24T05:26:38Z</dcterms:modified>
  <cp:category/>
</cp:coreProperties>
</file>